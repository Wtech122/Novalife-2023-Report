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13.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P\OneDrive\Documents\"/>
    </mc:Choice>
  </mc:AlternateContent>
  <xr:revisionPtr revIDLastSave="0" documentId="13_ncr:1_{231B8574-2476-4856-815B-BBC5D3E93B1B}" xr6:coauthVersionLast="47" xr6:coauthVersionMax="47" xr10:uidLastSave="{00000000-0000-0000-0000-000000000000}"/>
  <bookViews>
    <workbookView xWindow="-120" yWindow="-120" windowWidth="20730" windowHeight="11040" firstSheet="12" activeTab="14" xr2:uid="{5D366535-D587-4EA6-B134-6C84A25DC509}"/>
  </bookViews>
  <sheets>
    <sheet name="Avg. Bill by Payment Method" sheetId="6" r:id="rId1"/>
    <sheet name="Top 5 Diagnoses" sheetId="7" r:id="rId2"/>
    <sheet name="Follow-up Rate" sheetId="8" r:id="rId3"/>
    <sheet name="Gender Count" sheetId="9" r:id="rId4"/>
    <sheet name="Patient Count by State" sheetId="10" r:id="rId5"/>
    <sheet name="Monthly Revenue" sheetId="11" r:id="rId6"/>
    <sheet name="Revenue by Payment Status" sheetId="12" r:id="rId7"/>
    <sheet name="Top 3 Drugs by Revenue" sheetId="13" r:id="rId8"/>
    <sheet name="Sales by Compliance Status" sheetId="14" r:id="rId9"/>
    <sheet name="Count of Expiry Drugs Sold" sheetId="15" r:id="rId10"/>
    <sheet name="Payment Status by Payment Metho" sheetId="16" r:id="rId11"/>
    <sheet name="Visits by Dept." sheetId="24" r:id="rId12"/>
    <sheet name="Patient_Visits" sheetId="2" r:id="rId13"/>
    <sheet name="Pharmacy_Sales" sheetId="3" r:id="rId14"/>
    <sheet name="Staff_Attendance" sheetId="4" r:id="rId15"/>
    <sheet name="Dashboard" sheetId="18" r:id="rId16"/>
    <sheet name="Sheet1" sheetId="1" r:id="rId17"/>
  </sheets>
  <definedNames>
    <definedName name="_xlchart.v2.0" hidden="1">'Avg. Bill by Payment Method'!$E$3:$E$7</definedName>
    <definedName name="_xlchart.v2.1" hidden="1">'Avg. Bill by Payment Method'!$F$2</definedName>
    <definedName name="_xlchart.v2.2" hidden="1">'Avg. Bill by Payment Method'!$F$3:$F$7</definedName>
    <definedName name="_xlcn.WorksheetConnection_health.xlsxPatient_Visits" hidden="1">Patient_Visits[]</definedName>
    <definedName name="_xlcn.WorksheetConnection_health.xlsxPharmacy_Sales" hidden="1">Pharmacy_Sales[]</definedName>
    <definedName name="_xlcn.WorksheetConnection_health.xlsxStaff_Attendance" hidden="1">Staff_Attendance[]</definedName>
    <definedName name="ExternalData_1" localSheetId="12" hidden="1">Patient_Visits!$A$1:$V$191</definedName>
    <definedName name="ExternalData_2" localSheetId="13" hidden="1">Pharmacy_Sales!$A$1:$N$143</definedName>
    <definedName name="ExternalData_3" localSheetId="14" hidden="1">Staff_Attendance!$A$1:$J$101</definedName>
    <definedName name="Slicer_Department">#N/A</definedName>
    <definedName name="Slicer_Month1">#N/A</definedName>
    <definedName name="Slicer_Month2">#N/A</definedName>
    <definedName name="Slicer_State">#N/A</definedName>
  </definedNames>
  <calcPr calcId="191029" iterateDelta="1E-4"/>
  <pivotCaches>
    <pivotCache cacheId="0" r:id="rId18"/>
    <pivotCache cacheId="1" r:id="rId19"/>
    <pivotCache cacheId="2" r:id="rId20"/>
    <pivotCache cacheId="3" r:id="rId21"/>
    <pivotCache cacheId="4" r:id="rId22"/>
    <pivotCache cacheId="5" r:id="rId23"/>
    <pivotCache cacheId="6" r:id="rId24"/>
    <pivotCache cacheId="7" r:id="rId25"/>
    <pivotCache cacheId="8" r:id="rId26"/>
    <pivotCache cacheId="9" r:id="rId27"/>
    <pivotCache cacheId="10" r:id="rId28"/>
    <pivotCache cacheId="11" r:id="rId29"/>
  </pivotCaches>
  <extLst>
    <ext xmlns:x14="http://schemas.microsoft.com/office/spreadsheetml/2009/9/main" uri="{876F7934-8845-4945-9796-88D515C7AA90}">
      <x14:pivotCaches>
        <pivotCache cacheId="12" r:id="rId30"/>
        <pivotCache cacheId="13" r:id="rId31"/>
      </x14:pivotCaches>
    </ext>
    <ext xmlns:x14="http://schemas.microsoft.com/office/spreadsheetml/2009/9/main" uri="{BBE1A952-AA13-448e-AADC-164F8A28A991}">
      <x14:slicerCaches>
        <x14:slicerCache r:id="rId32"/>
        <x14:slicerCache r:id="rId33"/>
        <x14:slicerCache r:id="rId34"/>
        <x14:slicerCache r:id="rId3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aff_Attendance" name="Staff_Attendance" connection="WorksheetConnection_health.xlsx!Staff_Attendance"/>
          <x15:modelTable id="Pharmacy_Sales" name="Pharmacy_Sales" connection="WorksheetConnection_health.xlsx!Pharmacy_Sales"/>
          <x15:modelTable id="Patient_Visits" name="Patient_Visits" connection="WorksheetConnection_health.xlsx!Patient_Visits"/>
        </x15:modelTables>
        <x15:modelRelationships>
          <x15:modelRelationship fromTable="Pharmacy_Sales" fromColumn="Patient_ID" toTable="Patient_Visits" toColumn="Patien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2" l="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B57734-AA43-485C-82FC-B031D443D218}" keepAlive="1" name="Query - Patient_Visits" description="Connection to the 'Patient_Visits' query in the workbook." type="5" refreshedVersion="8" background="1" saveData="1">
    <dbPr connection="Provider=Microsoft.Mashup.OleDb.1;Data Source=$Workbook$;Location=Patient_Visits;Extended Properties=&quot;&quot;" command="SELECT * FROM [Patient_Visits]"/>
  </connection>
  <connection id="2" xr16:uid="{FD4674E9-0B5A-4F5C-8B26-DB9FFCF5C664}" keepAlive="1" name="Query - Pharmacy_Sales" description="Connection to the 'Pharmacy_Sales' query in the workbook." type="5" refreshedVersion="8" background="1" saveData="1">
    <dbPr connection="Provider=Microsoft.Mashup.OleDb.1;Data Source=$Workbook$;Location=Pharmacy_Sales;Extended Properties=&quot;&quot;" command="SELECT * FROM [Pharmacy_Sales]"/>
  </connection>
  <connection id="3" xr16:uid="{0F2A843D-984C-4FC2-8F87-0516296C8493}" keepAlive="1" name="Query - Staff_Attendance" description="Connection to the 'Staff_Attendance' query in the workbook." type="5" refreshedVersion="8" background="1" saveData="1">
    <dbPr connection="Provider=Microsoft.Mashup.OleDb.1;Data Source=$Workbook$;Location=Staff_Attendance;Extended Properties=&quot;&quot;" command="SELECT * FROM [Staff_Attendance]"/>
  </connection>
  <connection id="4" xr16:uid="{133D012B-7223-44C0-AEFE-9049D17FD6E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CB9167D3-396E-4675-80EB-9B0CE6496EF3}" name="WorksheetConnection_health.xlsx!Patient_Visits" type="102" refreshedVersion="8" minRefreshableVersion="5">
    <extLst>
      <ext xmlns:x15="http://schemas.microsoft.com/office/spreadsheetml/2010/11/main" uri="{DE250136-89BD-433C-8126-D09CA5730AF9}">
        <x15:connection id="Patient_Visits" autoDelete="1">
          <x15:rangePr sourceName="_xlcn.WorksheetConnection_health.xlsxPatient_Visits"/>
        </x15:connection>
      </ext>
    </extLst>
  </connection>
  <connection id="6" xr16:uid="{9B50F0B9-972C-4B6B-A961-CF00AFC1CAD5}" name="WorksheetConnection_health.xlsx!Pharmacy_Sales" type="102" refreshedVersion="8" minRefreshableVersion="5">
    <extLst>
      <ext xmlns:x15="http://schemas.microsoft.com/office/spreadsheetml/2010/11/main" uri="{DE250136-89BD-433C-8126-D09CA5730AF9}">
        <x15:connection id="Pharmacy_Sales">
          <x15:rangePr sourceName="_xlcn.WorksheetConnection_health.xlsxPharmacy_Sales"/>
        </x15:connection>
      </ext>
    </extLst>
  </connection>
  <connection id="7" xr16:uid="{DFE947B3-EA33-4E41-B93E-21FB5AB9974E}" name="WorksheetConnection_health.xlsx!Staff_Attendance" type="102" refreshedVersion="8" minRefreshableVersion="5">
    <extLst>
      <ext xmlns:x15="http://schemas.microsoft.com/office/spreadsheetml/2010/11/main" uri="{DE250136-89BD-433C-8126-D09CA5730AF9}">
        <x15:connection id="Staff_Attendance">
          <x15:rangePr sourceName="_xlcn.WorksheetConnection_health.xlsxStaff_Attendance"/>
        </x15:connection>
      </ext>
    </extLst>
  </connection>
</connections>
</file>

<file path=xl/sharedStrings.xml><?xml version="1.0" encoding="utf-8"?>
<sst xmlns="http://schemas.openxmlformats.org/spreadsheetml/2006/main" count="4386" uniqueCount="1000">
  <si>
    <t>Patient_ID</t>
  </si>
  <si>
    <t>Patient_Name</t>
  </si>
  <si>
    <t>Age</t>
  </si>
  <si>
    <t>Gender</t>
  </si>
  <si>
    <t>State</t>
  </si>
  <si>
    <t>Visit_Date (Updated)</t>
  </si>
  <si>
    <t>Department</t>
  </si>
  <si>
    <t>Doctor_Name</t>
  </si>
  <si>
    <t>Diagnosis</t>
  </si>
  <si>
    <t>Visit_Type</t>
  </si>
  <si>
    <t>Heart_Rate_bpm</t>
  </si>
  <si>
    <t>Body_Temp (Celsius)</t>
  </si>
  <si>
    <t>Weight_kg</t>
  </si>
  <si>
    <t>Height_cm</t>
  </si>
  <si>
    <t>BMI</t>
  </si>
  <si>
    <t>Payment_Method</t>
  </si>
  <si>
    <t>Bill_Amount_NGN</t>
  </si>
  <si>
    <t>Payment_Status (Updated)</t>
  </si>
  <si>
    <t>Follow_Up_Needed</t>
  </si>
  <si>
    <t>P001</t>
  </si>
  <si>
    <t>Amara Okafor</t>
  </si>
  <si>
    <t>Male</t>
  </si>
  <si>
    <t>Kaduna</t>
  </si>
  <si>
    <t>11/30/2023</t>
  </si>
  <si>
    <t>General OPD</t>
  </si>
  <si>
    <t>Dr. Adeyemi</t>
  </si>
  <si>
    <t>Dental Caries</t>
  </si>
  <si>
    <t>First Visit</t>
  </si>
  <si>
    <t>151/63</t>
  </si>
  <si>
    <t>NHIS</t>
  </si>
  <si>
    <t>Paid</t>
  </si>
  <si>
    <t>No</t>
  </si>
  <si>
    <t>P002</t>
  </si>
  <si>
    <t>Bola Adeyemi</t>
  </si>
  <si>
    <t>Enugu</t>
  </si>
  <si>
    <t>11/19/2023</t>
  </si>
  <si>
    <t>Dental</t>
  </si>
  <si>
    <t>Dr. Okafor</t>
  </si>
  <si>
    <t>Malaria</t>
  </si>
  <si>
    <t>Routine Check-Up</t>
  </si>
  <si>
    <t>111/74</t>
  </si>
  <si>
    <t>Cash</t>
  </si>
  <si>
    <t>P003</t>
  </si>
  <si>
    <t>Chidi Nwosu</t>
  </si>
  <si>
    <t>7/10/2023</t>
  </si>
  <si>
    <t>Hypertension</t>
  </si>
  <si>
    <t>131/91</t>
  </si>
  <si>
    <t>Bank Transfer</t>
  </si>
  <si>
    <t>Unpaid</t>
  </si>
  <si>
    <t>P004</t>
  </si>
  <si>
    <t>Dupe Fashola</t>
  </si>
  <si>
    <t>2/11/2023</t>
  </si>
  <si>
    <t>Eye Clinic</t>
  </si>
  <si>
    <t>Dr. Chukwu</t>
  </si>
  <si>
    <t>148/88</t>
  </si>
  <si>
    <t>POS</t>
  </si>
  <si>
    <t>Yes</t>
  </si>
  <si>
    <t>P005</t>
  </si>
  <si>
    <t>Emeka Eze</t>
  </si>
  <si>
    <t>Unknown</t>
  </si>
  <si>
    <t>Lagos</t>
  </si>
  <si>
    <t>12/9/2023</t>
  </si>
  <si>
    <t>Asthma</t>
  </si>
  <si>
    <t>Emergency</t>
  </si>
  <si>
    <t>148/82</t>
  </si>
  <si>
    <t>P006</t>
  </si>
  <si>
    <t>Fatima Bello</t>
  </si>
  <si>
    <t>Female</t>
  </si>
  <si>
    <t>Delta</t>
  </si>
  <si>
    <t>5/26/2023</t>
  </si>
  <si>
    <t>Dr. Ibrahim</t>
  </si>
  <si>
    <t>Anaemia</t>
  </si>
  <si>
    <t>164/82</t>
  </si>
  <si>
    <t>HMO</t>
  </si>
  <si>
    <t>Pending</t>
  </si>
  <si>
    <t>P007</t>
  </si>
  <si>
    <t>Garba Musa</t>
  </si>
  <si>
    <t>Cardiology</t>
  </si>
  <si>
    <t>Gastroenteritis</t>
  </si>
  <si>
    <t>122/87</t>
  </si>
  <si>
    <t>P008</t>
  </si>
  <si>
    <t>Hauwa Ibrahim</t>
  </si>
  <si>
    <t>1/7/2023</t>
  </si>
  <si>
    <t>Pediatrics</t>
  </si>
  <si>
    <t>Diabetes</t>
  </si>
  <si>
    <t>141/60</t>
  </si>
  <si>
    <t>P009</t>
  </si>
  <si>
    <t>Ifeanyi Obi</t>
  </si>
  <si>
    <t>7/24/2023</t>
  </si>
  <si>
    <t>Eye Infection</t>
  </si>
  <si>
    <t>112/72</t>
  </si>
  <si>
    <t>P011</t>
  </si>
  <si>
    <t>Kabiru Sani</t>
  </si>
  <si>
    <t>Upper Respiratory Infection</t>
  </si>
  <si>
    <t>P012</t>
  </si>
  <si>
    <t>Lola Adeleke</t>
  </si>
  <si>
    <t>Abuja</t>
  </si>
  <si>
    <t>12/23/2023</t>
  </si>
  <si>
    <t>Diabetes Clinic</t>
  </si>
  <si>
    <t>Follow-Up</t>
  </si>
  <si>
    <t>150/74</t>
  </si>
  <si>
    <t>P013</t>
  </si>
  <si>
    <t>Musa Dangote</t>
  </si>
  <si>
    <t>9/23/2023</t>
  </si>
  <si>
    <t>140/90</t>
  </si>
  <si>
    <t>P014</t>
  </si>
  <si>
    <t>Ngozi Eze</t>
  </si>
  <si>
    <t>2/22/2023</t>
  </si>
  <si>
    <t>Typhoid Fever</t>
  </si>
  <si>
    <t>131/90</t>
  </si>
  <si>
    <t>P015</t>
  </si>
  <si>
    <t>Obinna Igwe</t>
  </si>
  <si>
    <t>9/2/2023</t>
  </si>
  <si>
    <t>155/89</t>
  </si>
  <si>
    <t>P018</t>
  </si>
  <si>
    <t>Suleiman Yusuf</t>
  </si>
  <si>
    <t>Kano</t>
  </si>
  <si>
    <t>9/26/2023</t>
  </si>
  <si>
    <t>Incomplete Record</t>
  </si>
  <si>
    <t>105/69</t>
  </si>
  <si>
    <t>P019</t>
  </si>
  <si>
    <t>Taiwo Ajayi</t>
  </si>
  <si>
    <t>4/8/2023</t>
  </si>
  <si>
    <t>108/64</t>
  </si>
  <si>
    <t>P020</t>
  </si>
  <si>
    <t>Uche Okonkwo</t>
  </si>
  <si>
    <t>12/24/2023</t>
  </si>
  <si>
    <t>162/68</t>
  </si>
  <si>
    <t>P021</t>
  </si>
  <si>
    <t>11/26/2023</t>
  </si>
  <si>
    <t>122/89</t>
  </si>
  <si>
    <t>P022</t>
  </si>
  <si>
    <t>Oyo</t>
  </si>
  <si>
    <t>8/4/2023</t>
  </si>
  <si>
    <t>151/61</t>
  </si>
  <si>
    <t>P023</t>
  </si>
  <si>
    <t>4/28/2023</t>
  </si>
  <si>
    <t>110/71</t>
  </si>
  <si>
    <t>P024</t>
  </si>
  <si>
    <t>Rivers</t>
  </si>
  <si>
    <t>1/30/2023</t>
  </si>
  <si>
    <t>Dr. Bello</t>
  </si>
  <si>
    <t>139/61</t>
  </si>
  <si>
    <t>P025</t>
  </si>
  <si>
    <t>5/18/2023</t>
  </si>
  <si>
    <t>119/70</t>
  </si>
  <si>
    <t>P026</t>
  </si>
  <si>
    <t>6/27/2023</t>
  </si>
  <si>
    <t>107/92</t>
  </si>
  <si>
    <t>P027</t>
  </si>
  <si>
    <t>12/19/2023</t>
  </si>
  <si>
    <t>122/85</t>
  </si>
  <si>
    <t>Waived</t>
  </si>
  <si>
    <t>P028</t>
  </si>
  <si>
    <t>12/7/2023</t>
  </si>
  <si>
    <t>142/62</t>
  </si>
  <si>
    <t>P029</t>
  </si>
  <si>
    <t>4/22/2023</t>
  </si>
  <si>
    <t>153/65</t>
  </si>
  <si>
    <t>P032</t>
  </si>
  <si>
    <t>3/10/2023</t>
  </si>
  <si>
    <t>162/95</t>
  </si>
  <si>
    <t>P033</t>
  </si>
  <si>
    <t>12/4/2023</t>
  </si>
  <si>
    <t>114/76</t>
  </si>
  <si>
    <t>P034</t>
  </si>
  <si>
    <t>11/12/2023</t>
  </si>
  <si>
    <t>147/76</t>
  </si>
  <si>
    <t>P035</t>
  </si>
  <si>
    <t>12/21/2023</t>
  </si>
  <si>
    <t>164/89</t>
  </si>
  <si>
    <t>P036</t>
  </si>
  <si>
    <t>Patience Dike</t>
  </si>
  <si>
    <t>2/9/2023</t>
  </si>
  <si>
    <t>131/73</t>
  </si>
  <si>
    <t>P037</t>
  </si>
  <si>
    <t>Rotimi Afolabi</t>
  </si>
  <si>
    <t>9/12/2023</t>
  </si>
  <si>
    <t>105/91</t>
  </si>
  <si>
    <t>P038</t>
  </si>
  <si>
    <t>6/16/2023</t>
  </si>
  <si>
    <t>106/78</t>
  </si>
  <si>
    <t>P039</t>
  </si>
  <si>
    <t>1/27/2023</t>
  </si>
  <si>
    <t>139/87</t>
  </si>
  <si>
    <t>P040</t>
  </si>
  <si>
    <t>1/26/2023</t>
  </si>
  <si>
    <t>141/91</t>
  </si>
  <si>
    <t>P041</t>
  </si>
  <si>
    <t>7/27/2023</t>
  </si>
  <si>
    <t>155/67</t>
  </si>
  <si>
    <t>P042</t>
  </si>
  <si>
    <t>10/8/2023</t>
  </si>
  <si>
    <t>148/95</t>
  </si>
  <si>
    <t>P043</t>
  </si>
  <si>
    <t>7/12/2023</t>
  </si>
  <si>
    <t>140/83</t>
  </si>
  <si>
    <t>P044</t>
  </si>
  <si>
    <t>6/9/2023</t>
  </si>
  <si>
    <t>165/91</t>
  </si>
  <si>
    <t>P045</t>
  </si>
  <si>
    <t>12/25/2023</t>
  </si>
  <si>
    <t>105/68</t>
  </si>
  <si>
    <t>P046</t>
  </si>
  <si>
    <t>6/3/2023</t>
  </si>
  <si>
    <t>138/74</t>
  </si>
  <si>
    <t>P047</t>
  </si>
  <si>
    <t>1/15/2023</t>
  </si>
  <si>
    <t>129/91</t>
  </si>
  <si>
    <t>P048</t>
  </si>
  <si>
    <t>12/16/2023</t>
  </si>
  <si>
    <t>169/64</t>
  </si>
  <si>
    <t>P049</t>
  </si>
  <si>
    <t>11/9/2023</t>
  </si>
  <si>
    <t>112/69</t>
  </si>
  <si>
    <t>P052</t>
  </si>
  <si>
    <t>151/90</t>
  </si>
  <si>
    <t>P053</t>
  </si>
  <si>
    <t>5/12/2023</t>
  </si>
  <si>
    <t>151/77</t>
  </si>
  <si>
    <t>P054</t>
  </si>
  <si>
    <t>2/24/2023</t>
  </si>
  <si>
    <t>160/91</t>
  </si>
  <si>
    <t>P055</t>
  </si>
  <si>
    <t>11/2/2023</t>
  </si>
  <si>
    <t>125/75</t>
  </si>
  <si>
    <t>P056</t>
  </si>
  <si>
    <t>11/16/2023</t>
  </si>
  <si>
    <t>168/88</t>
  </si>
  <si>
    <t>P057</t>
  </si>
  <si>
    <t>10/18/2023</t>
  </si>
  <si>
    <t>130/88</t>
  </si>
  <si>
    <t>P058</t>
  </si>
  <si>
    <t>9/17/2023</t>
  </si>
  <si>
    <t>109/66</t>
  </si>
  <si>
    <t>P059</t>
  </si>
  <si>
    <t>11/4/2023</t>
  </si>
  <si>
    <t>170/71</t>
  </si>
  <si>
    <t>P060</t>
  </si>
  <si>
    <t>3/14/2023</t>
  </si>
  <si>
    <t>131/60</t>
  </si>
  <si>
    <t>P061</t>
  </si>
  <si>
    <t>7/28/2023</t>
  </si>
  <si>
    <t>173/65</t>
  </si>
  <si>
    <t>P062</t>
  </si>
  <si>
    <t>1/10/2023</t>
  </si>
  <si>
    <t>P063</t>
  </si>
  <si>
    <t>152/92</t>
  </si>
  <si>
    <t>P064</t>
  </si>
  <si>
    <t>3/6/2023</t>
  </si>
  <si>
    <t>154/65</t>
  </si>
  <si>
    <t>P065</t>
  </si>
  <si>
    <t>1/22/2023</t>
  </si>
  <si>
    <t>150/67</t>
  </si>
  <si>
    <t>P066</t>
  </si>
  <si>
    <t>11/3/2023</t>
  </si>
  <si>
    <t>144/75</t>
  </si>
  <si>
    <t>P067</t>
  </si>
  <si>
    <t>8/17/2023</t>
  </si>
  <si>
    <t>156/66</t>
  </si>
  <si>
    <t>P068</t>
  </si>
  <si>
    <t>9/19/2023</t>
  </si>
  <si>
    <t>122/61</t>
  </si>
  <si>
    <t>P069</t>
  </si>
  <si>
    <t>6/29/2023</t>
  </si>
  <si>
    <t>140/89</t>
  </si>
  <si>
    <t>P070</t>
  </si>
  <si>
    <t>Jumoke Lawal</t>
  </si>
  <si>
    <t>4/12/2023</t>
  </si>
  <si>
    <t>146/84</t>
  </si>
  <si>
    <t>P072</t>
  </si>
  <si>
    <t>11/24/2023</t>
  </si>
  <si>
    <t>133/69</t>
  </si>
  <si>
    <t>P073</t>
  </si>
  <si>
    <t>1/28/2023</t>
  </si>
  <si>
    <t>118/93</t>
  </si>
  <si>
    <t>P074</t>
  </si>
  <si>
    <t>1/8/2023</t>
  </si>
  <si>
    <t>113/69</t>
  </si>
  <si>
    <t>P075</t>
  </si>
  <si>
    <t>3/26/2023</t>
  </si>
  <si>
    <t>156/71</t>
  </si>
  <si>
    <t>P076</t>
  </si>
  <si>
    <t>170/79</t>
  </si>
  <si>
    <t>P077</t>
  </si>
  <si>
    <t>3/31/2023</t>
  </si>
  <si>
    <t>109/67</t>
  </si>
  <si>
    <t>P078</t>
  </si>
  <si>
    <t>11/25/2023</t>
  </si>
  <si>
    <t>126/76</t>
  </si>
  <si>
    <t>P079</t>
  </si>
  <si>
    <t>8/30/2023</t>
  </si>
  <si>
    <t>134/79</t>
  </si>
  <si>
    <t>P080</t>
  </si>
  <si>
    <t>6/26/2023</t>
  </si>
  <si>
    <t>122/62</t>
  </si>
  <si>
    <t>P081</t>
  </si>
  <si>
    <t>4/16/2023</t>
  </si>
  <si>
    <t>116/78</t>
  </si>
  <si>
    <t>P082</t>
  </si>
  <si>
    <t>169/90</t>
  </si>
  <si>
    <t>P083</t>
  </si>
  <si>
    <t>10/3/2023</t>
  </si>
  <si>
    <t>126/87</t>
  </si>
  <si>
    <t>P084</t>
  </si>
  <si>
    <t>10/31/2023</t>
  </si>
  <si>
    <t>141/73</t>
  </si>
  <si>
    <t>P085</t>
  </si>
  <si>
    <t>7/25/2023</t>
  </si>
  <si>
    <t>152/73</t>
  </si>
  <si>
    <t>P086</t>
  </si>
  <si>
    <t>6/28/2023</t>
  </si>
  <si>
    <t>P087</t>
  </si>
  <si>
    <t>124/75</t>
  </si>
  <si>
    <t>P088</t>
  </si>
  <si>
    <t>7/16/2023</t>
  </si>
  <si>
    <t>160/77</t>
  </si>
  <si>
    <t>P089</t>
  </si>
  <si>
    <t>8/12/2023</t>
  </si>
  <si>
    <t>164/61</t>
  </si>
  <si>
    <t>P090</t>
  </si>
  <si>
    <t>138/66</t>
  </si>
  <si>
    <t>P091</t>
  </si>
  <si>
    <t>P092</t>
  </si>
  <si>
    <t>9/20/2023</t>
  </si>
  <si>
    <t>157/89</t>
  </si>
  <si>
    <t>P093</t>
  </si>
  <si>
    <t>7/15/2023</t>
  </si>
  <si>
    <t>158/86</t>
  </si>
  <si>
    <t>P094</t>
  </si>
  <si>
    <t>8/25/2023</t>
  </si>
  <si>
    <t>129/90</t>
  </si>
  <si>
    <t>P095</t>
  </si>
  <si>
    <t>8/29/2023</t>
  </si>
  <si>
    <t>137/87</t>
  </si>
  <si>
    <t>P096</t>
  </si>
  <si>
    <t>8/8/2023</t>
  </si>
  <si>
    <t>143/84</t>
  </si>
  <si>
    <t>P097</t>
  </si>
  <si>
    <t>12/2/2023</t>
  </si>
  <si>
    <t>123/74</t>
  </si>
  <si>
    <t>P098</t>
  </si>
  <si>
    <t>9/11/2023</t>
  </si>
  <si>
    <t>161/67</t>
  </si>
  <si>
    <t>P099</t>
  </si>
  <si>
    <t>174/60</t>
  </si>
  <si>
    <t>P100</t>
  </si>
  <si>
    <t>4/3/2023</t>
  </si>
  <si>
    <t>110/81</t>
  </si>
  <si>
    <t>P101</t>
  </si>
  <si>
    <t>141/87</t>
  </si>
  <si>
    <t>P102</t>
  </si>
  <si>
    <t>4/15/2023</t>
  </si>
  <si>
    <t>129/80</t>
  </si>
  <si>
    <t>P103</t>
  </si>
  <si>
    <t>P104</t>
  </si>
  <si>
    <t>12/8/2023</t>
  </si>
  <si>
    <t>128/62</t>
  </si>
  <si>
    <t>P105</t>
  </si>
  <si>
    <t>111/91</t>
  </si>
  <si>
    <t>P106</t>
  </si>
  <si>
    <t>11/1/2023</t>
  </si>
  <si>
    <t>175/66</t>
  </si>
  <si>
    <t>P107</t>
  </si>
  <si>
    <t>3/4/2023</t>
  </si>
  <si>
    <t>136/88</t>
  </si>
  <si>
    <t>P108</t>
  </si>
  <si>
    <t>106/65</t>
  </si>
  <si>
    <t>P109</t>
  </si>
  <si>
    <t>12/13/2023</t>
  </si>
  <si>
    <t>125/86</t>
  </si>
  <si>
    <t>P110</t>
  </si>
  <si>
    <t>3/19/2023</t>
  </si>
  <si>
    <t>136/84</t>
  </si>
  <si>
    <t>P111</t>
  </si>
  <si>
    <t>8/5/2023</t>
  </si>
  <si>
    <t>123/69</t>
  </si>
  <si>
    <t>P112</t>
  </si>
  <si>
    <t>4/13/2023</t>
  </si>
  <si>
    <t>P113</t>
  </si>
  <si>
    <t>4/30/2023</t>
  </si>
  <si>
    <t>171/80</t>
  </si>
  <si>
    <t>P114</t>
  </si>
  <si>
    <t>9/22/2023</t>
  </si>
  <si>
    <t>152/66</t>
  </si>
  <si>
    <t>P115</t>
  </si>
  <si>
    <t>1/18/2023</t>
  </si>
  <si>
    <t>138/77</t>
  </si>
  <si>
    <t>P116</t>
  </si>
  <si>
    <t>7/13/2023</t>
  </si>
  <si>
    <t>152/89</t>
  </si>
  <si>
    <t>P117</t>
  </si>
  <si>
    <t>10/17/2023</t>
  </si>
  <si>
    <t>128/88</t>
  </si>
  <si>
    <t>P118</t>
  </si>
  <si>
    <t>5/13/2023</t>
  </si>
  <si>
    <t>123/80</t>
  </si>
  <si>
    <t>P119</t>
  </si>
  <si>
    <t>153/70</t>
  </si>
  <si>
    <t>P120</t>
  </si>
  <si>
    <t>117/84</t>
  </si>
  <si>
    <t>P121</t>
  </si>
  <si>
    <t>6/19/2023</t>
  </si>
  <si>
    <t>175/69</t>
  </si>
  <si>
    <t>P122</t>
  </si>
  <si>
    <t>5/14/2023</t>
  </si>
  <si>
    <t>166/67</t>
  </si>
  <si>
    <t>P123</t>
  </si>
  <si>
    <t>7/6/2023</t>
  </si>
  <si>
    <t>P124</t>
  </si>
  <si>
    <t>8/15/2023</t>
  </si>
  <si>
    <t>151/87</t>
  </si>
  <si>
    <t>P125</t>
  </si>
  <si>
    <t>2/14/2023</t>
  </si>
  <si>
    <t>131/68</t>
  </si>
  <si>
    <t>P126</t>
  </si>
  <si>
    <t>116/60</t>
  </si>
  <si>
    <t>P127</t>
  </si>
  <si>
    <t>10/22/2023</t>
  </si>
  <si>
    <t>171/64</t>
  </si>
  <si>
    <t>P128</t>
  </si>
  <si>
    <t>107/75</t>
  </si>
  <si>
    <t>P129</t>
  </si>
  <si>
    <t>171/75</t>
  </si>
  <si>
    <t>P130</t>
  </si>
  <si>
    <t>2/26/2023</t>
  </si>
  <si>
    <t>174/74</t>
  </si>
  <si>
    <t>P131</t>
  </si>
  <si>
    <t>147/87</t>
  </si>
  <si>
    <t>P132</t>
  </si>
  <si>
    <t>12/6/2023</t>
  </si>
  <si>
    <t>172/71</t>
  </si>
  <si>
    <t>P133</t>
  </si>
  <si>
    <t>1/21/2023</t>
  </si>
  <si>
    <t>174/62</t>
  </si>
  <si>
    <t>P134</t>
  </si>
  <si>
    <t>11/28/2023</t>
  </si>
  <si>
    <t>115/89</t>
  </si>
  <si>
    <t>P135</t>
  </si>
  <si>
    <t>133/84</t>
  </si>
  <si>
    <t>P136</t>
  </si>
  <si>
    <t>6/20/2023</t>
  </si>
  <si>
    <t>155/60</t>
  </si>
  <si>
    <t>P137</t>
  </si>
  <si>
    <t>149/88</t>
  </si>
  <si>
    <t>P138</t>
  </si>
  <si>
    <t>171/66</t>
  </si>
  <si>
    <t>P139</t>
  </si>
  <si>
    <t>7/30/2023</t>
  </si>
  <si>
    <t>155/69</t>
  </si>
  <si>
    <t>P140</t>
  </si>
  <si>
    <t>5/30/2023</t>
  </si>
  <si>
    <t>146/60</t>
  </si>
  <si>
    <t>P141</t>
  </si>
  <si>
    <t>10/25/2023</t>
  </si>
  <si>
    <t>136/80</t>
  </si>
  <si>
    <t>P142</t>
  </si>
  <si>
    <t>150/62</t>
  </si>
  <si>
    <t>P143</t>
  </si>
  <si>
    <t>11/29/2023</t>
  </si>
  <si>
    <t>158/91</t>
  </si>
  <si>
    <t>P144</t>
  </si>
  <si>
    <t>7/7/2023</t>
  </si>
  <si>
    <t>119/78</t>
  </si>
  <si>
    <t>P145</t>
  </si>
  <si>
    <t>7/31/2023</t>
  </si>
  <si>
    <t>P146</t>
  </si>
  <si>
    <t>4/11/2023</t>
  </si>
  <si>
    <t>173/92</t>
  </si>
  <si>
    <t>P147</t>
  </si>
  <si>
    <t>3/29/2023</t>
  </si>
  <si>
    <t>112/60</t>
  </si>
  <si>
    <t>P148</t>
  </si>
  <si>
    <t>107/63</t>
  </si>
  <si>
    <t>P149</t>
  </si>
  <si>
    <t>3/23/2023</t>
  </si>
  <si>
    <t>163/79</t>
  </si>
  <si>
    <t>P150</t>
  </si>
  <si>
    <t>116/71</t>
  </si>
  <si>
    <t>P151</t>
  </si>
  <si>
    <t>7/26/2023</t>
  </si>
  <si>
    <t>149/95</t>
  </si>
  <si>
    <t>P152</t>
  </si>
  <si>
    <t>5/4/2023</t>
  </si>
  <si>
    <t>139/94</t>
  </si>
  <si>
    <t>P153</t>
  </si>
  <si>
    <t>6/2/2023</t>
  </si>
  <si>
    <t>P154</t>
  </si>
  <si>
    <t>154/61</t>
  </si>
  <si>
    <t>P155</t>
  </si>
  <si>
    <t>169/79</t>
  </si>
  <si>
    <t>P156</t>
  </si>
  <si>
    <t>8/26/2023</t>
  </si>
  <si>
    <t>108/83</t>
  </si>
  <si>
    <t>P157</t>
  </si>
  <si>
    <t>11/18/2023</t>
  </si>
  <si>
    <t>139/74</t>
  </si>
  <si>
    <t>P158</t>
  </si>
  <si>
    <t>10/10/2023</t>
  </si>
  <si>
    <t>168/93</t>
  </si>
  <si>
    <t>P159</t>
  </si>
  <si>
    <t>12/15/2023</t>
  </si>
  <si>
    <t>149/65</t>
  </si>
  <si>
    <t>P160</t>
  </si>
  <si>
    <t>6/24/2023</t>
  </si>
  <si>
    <t>131/87</t>
  </si>
  <si>
    <t>P161</t>
  </si>
  <si>
    <t>11/23/2023</t>
  </si>
  <si>
    <t>112/70</t>
  </si>
  <si>
    <t>P162</t>
  </si>
  <si>
    <t>1/4/2023</t>
  </si>
  <si>
    <t>143/68</t>
  </si>
  <si>
    <t>P163</t>
  </si>
  <si>
    <t>167/73</t>
  </si>
  <si>
    <t>P164</t>
  </si>
  <si>
    <t>8/16/2023</t>
  </si>
  <si>
    <t>126/95</t>
  </si>
  <si>
    <t>P165</t>
  </si>
  <si>
    <t>8/11/2023</t>
  </si>
  <si>
    <t>106/82</t>
  </si>
  <si>
    <t>P166</t>
  </si>
  <si>
    <t>7/22/2023</t>
  </si>
  <si>
    <t>172/70</t>
  </si>
  <si>
    <t>P167</t>
  </si>
  <si>
    <t>3/11/2023</t>
  </si>
  <si>
    <t>112/62</t>
  </si>
  <si>
    <t>P168</t>
  </si>
  <si>
    <t>11/5/2023</t>
  </si>
  <si>
    <t>125/68</t>
  </si>
  <si>
    <t>P169</t>
  </si>
  <si>
    <t>114/63</t>
  </si>
  <si>
    <t>P170</t>
  </si>
  <si>
    <t>1/3/2023</t>
  </si>
  <si>
    <t>165/65</t>
  </si>
  <si>
    <t>P171</t>
  </si>
  <si>
    <t>122/79</t>
  </si>
  <si>
    <t>P172</t>
  </si>
  <si>
    <t>10/12/2023</t>
  </si>
  <si>
    <t>161/85</t>
  </si>
  <si>
    <t>P173</t>
  </si>
  <si>
    <t>9/29/2023</t>
  </si>
  <si>
    <t>175/89</t>
  </si>
  <si>
    <t>P174</t>
  </si>
  <si>
    <t>9/15/2023</t>
  </si>
  <si>
    <t>163/85</t>
  </si>
  <si>
    <t>P175</t>
  </si>
  <si>
    <t>5/2/2023</t>
  </si>
  <si>
    <t>132/89</t>
  </si>
  <si>
    <t>P176</t>
  </si>
  <si>
    <t>135/83</t>
  </si>
  <si>
    <t>P177</t>
  </si>
  <si>
    <t>150/72</t>
  </si>
  <si>
    <t>P178</t>
  </si>
  <si>
    <t>4/5/2023</t>
  </si>
  <si>
    <t>123/76</t>
  </si>
  <si>
    <t>P179</t>
  </si>
  <si>
    <t>1/17/2023</t>
  </si>
  <si>
    <t>165/70</t>
  </si>
  <si>
    <t>P180</t>
  </si>
  <si>
    <t>3/9/2023</t>
  </si>
  <si>
    <t>126/83</t>
  </si>
  <si>
    <t>P181</t>
  </si>
  <si>
    <t>1/11/2023</t>
  </si>
  <si>
    <t>P182</t>
  </si>
  <si>
    <t>8/7/2023</t>
  </si>
  <si>
    <t>141/75</t>
  </si>
  <si>
    <t>P183</t>
  </si>
  <si>
    <t>1/31/2023</t>
  </si>
  <si>
    <t>169/83</t>
  </si>
  <si>
    <t>P184</t>
  </si>
  <si>
    <t>10/19/2023</t>
  </si>
  <si>
    <t>123/79</t>
  </si>
  <si>
    <t>P185</t>
  </si>
  <si>
    <t>8/28/2023</t>
  </si>
  <si>
    <t>145/71</t>
  </si>
  <si>
    <t>P186</t>
  </si>
  <si>
    <t>8/18/2023</t>
  </si>
  <si>
    <t>130/75</t>
  </si>
  <si>
    <t>P187</t>
  </si>
  <si>
    <t>5/19/2023</t>
  </si>
  <si>
    <t>132/80</t>
  </si>
  <si>
    <t>P188</t>
  </si>
  <si>
    <t>1/24/2023</t>
  </si>
  <si>
    <t>156/76</t>
  </si>
  <si>
    <t>P189</t>
  </si>
  <si>
    <t>2/17/2023</t>
  </si>
  <si>
    <t>172/65</t>
  </si>
  <si>
    <t>P190</t>
  </si>
  <si>
    <t>12/31/2023</t>
  </si>
  <si>
    <t>P191</t>
  </si>
  <si>
    <t>120/63</t>
  </si>
  <si>
    <t>P192</t>
  </si>
  <si>
    <t>132/82</t>
  </si>
  <si>
    <t>P193</t>
  </si>
  <si>
    <t>153/74</t>
  </si>
  <si>
    <t>P194</t>
  </si>
  <si>
    <t>166/77</t>
  </si>
  <si>
    <t>P195</t>
  </si>
  <si>
    <t>4/19/2023</t>
  </si>
  <si>
    <t>110/88</t>
  </si>
  <si>
    <t>P196</t>
  </si>
  <si>
    <t>164/85</t>
  </si>
  <si>
    <t>P197</t>
  </si>
  <si>
    <t>1/20/2023</t>
  </si>
  <si>
    <t>160/66</t>
  </si>
  <si>
    <t>P198</t>
  </si>
  <si>
    <t>1/2/2023</t>
  </si>
  <si>
    <t>174/92</t>
  </si>
  <si>
    <t>P199</t>
  </si>
  <si>
    <t>5/16/2023</t>
  </si>
  <si>
    <t>170/63</t>
  </si>
  <si>
    <t>P200</t>
  </si>
  <si>
    <t>12/20/2023</t>
  </si>
  <si>
    <t>145/94</t>
  </si>
  <si>
    <t>Sale_ID</t>
  </si>
  <si>
    <t>Sale_Date (Updated)</t>
  </si>
  <si>
    <t>Drug_Name</t>
  </si>
  <si>
    <t>Quantity_Sold</t>
  </si>
  <si>
    <t>Unit_Price_NGN</t>
  </si>
  <si>
    <t>Total_Price_NGN (Updated)</t>
  </si>
  <si>
    <t>Pharmacist</t>
  </si>
  <si>
    <t>Prescription_Required</t>
  </si>
  <si>
    <t>Prescription_Provided</t>
  </si>
  <si>
    <t>Prescription_Compliance</t>
  </si>
  <si>
    <t>Stock_After_Sale</t>
  </si>
  <si>
    <t>Expiry_Date</t>
  </si>
  <si>
    <t>Expiry_Drug_Sold</t>
  </si>
  <si>
    <t>S001</t>
  </si>
  <si>
    <t>Ibuprofen 400mg</t>
  </si>
  <si>
    <t>Pharm. Tunde</t>
  </si>
  <si>
    <t>S002</t>
  </si>
  <si>
    <t>Paracetamol 500mg</t>
  </si>
  <si>
    <t>Pharm. Eze</t>
  </si>
  <si>
    <t>S003</t>
  </si>
  <si>
    <t>Omeprazole 20mg</t>
  </si>
  <si>
    <t>S004</t>
  </si>
  <si>
    <t>Pharm. Bello</t>
  </si>
  <si>
    <t>S005</t>
  </si>
  <si>
    <t>Vitamin C 500mg</t>
  </si>
  <si>
    <t>S006</t>
  </si>
  <si>
    <t>ORS Sachets</t>
  </si>
  <si>
    <t>S007</t>
  </si>
  <si>
    <t>S008</t>
  </si>
  <si>
    <t>P017</t>
  </si>
  <si>
    <t>S009</t>
  </si>
  <si>
    <t>S010</t>
  </si>
  <si>
    <t>S011</t>
  </si>
  <si>
    <t>S013</t>
  </si>
  <si>
    <t>Metformin 500mg</t>
  </si>
  <si>
    <t>S014</t>
  </si>
  <si>
    <t>Amlodipine 5mg</t>
  </si>
  <si>
    <t>S016</t>
  </si>
  <si>
    <t>S017</t>
  </si>
  <si>
    <t>Artemether-Lumefantrine</t>
  </si>
  <si>
    <t>S018</t>
  </si>
  <si>
    <t>S019</t>
  </si>
  <si>
    <t>S020</t>
  </si>
  <si>
    <t>S021</t>
  </si>
  <si>
    <t>S022</t>
  </si>
  <si>
    <t>S023</t>
  </si>
  <si>
    <t>Folic Acid 5mg</t>
  </si>
  <si>
    <t>S024</t>
  </si>
  <si>
    <t>S025</t>
  </si>
  <si>
    <t>S026</t>
  </si>
  <si>
    <t>S027</t>
  </si>
  <si>
    <t>S028</t>
  </si>
  <si>
    <t>S029</t>
  </si>
  <si>
    <t>S030</t>
  </si>
  <si>
    <t>S031</t>
  </si>
  <si>
    <t>S033</t>
  </si>
  <si>
    <t>S034</t>
  </si>
  <si>
    <t>S036</t>
  </si>
  <si>
    <t>S037</t>
  </si>
  <si>
    <t>S038</t>
  </si>
  <si>
    <t>S039</t>
  </si>
  <si>
    <t>S040</t>
  </si>
  <si>
    <t>S041</t>
  </si>
  <si>
    <t>S042</t>
  </si>
  <si>
    <t>S043</t>
  </si>
  <si>
    <t>S044</t>
  </si>
  <si>
    <t>S045</t>
  </si>
  <si>
    <t>S046</t>
  </si>
  <si>
    <t>S047</t>
  </si>
  <si>
    <t>S048</t>
  </si>
  <si>
    <t>S049</t>
  </si>
  <si>
    <t>S050</t>
  </si>
  <si>
    <t>S051</t>
  </si>
  <si>
    <t>S053</t>
  </si>
  <si>
    <t>S054</t>
  </si>
  <si>
    <t>S056</t>
  </si>
  <si>
    <t>S057</t>
  </si>
  <si>
    <t>S058</t>
  </si>
  <si>
    <t>Amoxicillin 500mg</t>
  </si>
  <si>
    <t>S059</t>
  </si>
  <si>
    <t>S060</t>
  </si>
  <si>
    <t>S061</t>
  </si>
  <si>
    <t>S062</t>
  </si>
  <si>
    <t>S063</t>
  </si>
  <si>
    <t>S064</t>
  </si>
  <si>
    <t>S065</t>
  </si>
  <si>
    <t>S066</t>
  </si>
  <si>
    <t>S067</t>
  </si>
  <si>
    <t>S068</t>
  </si>
  <si>
    <t>S069</t>
  </si>
  <si>
    <t>S070</t>
  </si>
  <si>
    <t>S071</t>
  </si>
  <si>
    <t>S073</t>
  </si>
  <si>
    <t>S074</t>
  </si>
  <si>
    <t>S075</t>
  </si>
  <si>
    <t>S076</t>
  </si>
  <si>
    <t>S077</t>
  </si>
  <si>
    <t>S078</t>
  </si>
  <si>
    <t>S079</t>
  </si>
  <si>
    <t>S080</t>
  </si>
  <si>
    <t>S081</t>
  </si>
  <si>
    <t>S082</t>
  </si>
  <si>
    <t>S083</t>
  </si>
  <si>
    <t>S084</t>
  </si>
  <si>
    <t>S085</t>
  </si>
  <si>
    <t>S086</t>
  </si>
  <si>
    <t>S087</t>
  </si>
  <si>
    <t>S088</t>
  </si>
  <si>
    <t>S089</t>
  </si>
  <si>
    <t>S090</t>
  </si>
  <si>
    <t>S091</t>
  </si>
  <si>
    <t>S093</t>
  </si>
  <si>
    <t>S094</t>
  </si>
  <si>
    <t>S095</t>
  </si>
  <si>
    <t>S096</t>
  </si>
  <si>
    <t>S097</t>
  </si>
  <si>
    <t>S098</t>
  </si>
  <si>
    <t>S099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</si>
  <si>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</si>
  <si>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</si>
  <si>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</si>
  <si>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</si>
  <si>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</si>
  <si>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</si>
  <si>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</si>
  <si>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</si>
  <si>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</si>
  <si>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</si>
  <si>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</si>
  <si>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</si>
  <si>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</si>
  <si>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</si>
  <si>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</si>
  <si>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</si>
  <si>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</si>
  <si>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</si>
  <si>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</si>
  <si>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</si>
  <si>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</si>
  <si>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</si>
  <si>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</si>
  <si>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</si>
  <si>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</si>
  <si>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</si>
  <si>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</si>
  <si>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</si>
  <si>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</si>
  <si>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</si>
  <si>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</si>
  <si>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</si>
  <si>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</si>
  <si>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</si>
  <si>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</si>
  <si>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</si>
  <si>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</si>
  <si>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</si>
  <si>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</si>
  <si>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</si>
  <si>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</si>
  <si>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</si>
  <si>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</si>
  <si>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</si>
  <si>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</si>
  <si>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</si>
  <si>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</si>
  <si>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</si>
  <si>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</si>
  <si>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</si>
  <si>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</si>
  <si>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Record_ID</t>
  </si>
  <si>
    <t>Staff_Name</t>
  </si>
  <si>
    <t>Staff_Role</t>
  </si>
  <si>
    <t>Date</t>
  </si>
  <si>
    <t>ATT-001</t>
  </si>
  <si>
    <t>Bilkisu</t>
  </si>
  <si>
    <t>Nurse</t>
  </si>
  <si>
    <t>Afternoon</t>
  </si>
  <si>
    <t>Present</t>
  </si>
  <si>
    <t>ATT-002</t>
  </si>
  <si>
    <t>ATT-003</t>
  </si>
  <si>
    <t>Garba</t>
  </si>
  <si>
    <t>Lab Technician</t>
  </si>
  <si>
    <t>Laboratory</t>
  </si>
  <si>
    <t>ATT-004</t>
  </si>
  <si>
    <t>Bello</t>
  </si>
  <si>
    <t>Doctor</t>
  </si>
  <si>
    <t>ATT-005</t>
  </si>
  <si>
    <t>Eze</t>
  </si>
  <si>
    <t>Pharmacy</t>
  </si>
  <si>
    <t>ATT-006</t>
  </si>
  <si>
    <t>Morning</t>
  </si>
  <si>
    <t>ATT-007</t>
  </si>
  <si>
    <t>ATT-008</t>
  </si>
  <si>
    <t>ATT-009</t>
  </si>
  <si>
    <t>Amaka</t>
  </si>
  <si>
    <t>Chima</t>
  </si>
  <si>
    <t>Porter</t>
  </si>
  <si>
    <t>General</t>
  </si>
  <si>
    <t>ATT-011</t>
  </si>
  <si>
    <t>Adeyemi</t>
  </si>
  <si>
    <t>ATT-012</t>
  </si>
  <si>
    <t>Absent</t>
  </si>
  <si>
    <t>ATT-013</t>
  </si>
  <si>
    <t>ATT-014</t>
  </si>
  <si>
    <t>ATT-015</t>
  </si>
  <si>
    <t>ATT-016</t>
  </si>
  <si>
    <t>ATT-017</t>
  </si>
  <si>
    <t>ATT-018</t>
  </si>
  <si>
    <t>ATT-019</t>
  </si>
  <si>
    <t>ATT-021</t>
  </si>
  <si>
    <t>ATT-022</t>
  </si>
  <si>
    <t>Tola</t>
  </si>
  <si>
    <t>Administrative Staff</t>
  </si>
  <si>
    <t>Front Desk</t>
  </si>
  <si>
    <t>ATT-023</t>
  </si>
  <si>
    <t>ATT-024</t>
  </si>
  <si>
    <t>ATT-025</t>
  </si>
  <si>
    <t>ATT-026</t>
  </si>
  <si>
    <t>ATT-027</t>
  </si>
  <si>
    <t>ATT-028</t>
  </si>
  <si>
    <t>ATT-029</t>
  </si>
  <si>
    <t>ATT-031</t>
  </si>
  <si>
    <t>ATT-032</t>
  </si>
  <si>
    <t>ATT-033</t>
  </si>
  <si>
    <t>ATT-034</t>
  </si>
  <si>
    <t>ATT-035</t>
  </si>
  <si>
    <t>ATT-036</t>
  </si>
  <si>
    <t>ATT-037</t>
  </si>
  <si>
    <t>ATT-038</t>
  </si>
  <si>
    <t>ATT-039</t>
  </si>
  <si>
    <t>ATT-040</t>
  </si>
  <si>
    <t>ATT-041</t>
  </si>
  <si>
    <t>ATT-042</t>
  </si>
  <si>
    <t>ATT-043</t>
  </si>
  <si>
    <t>ATT-044</t>
  </si>
  <si>
    <t>ATT-045</t>
  </si>
  <si>
    <t>ATT-046</t>
  </si>
  <si>
    <t>ATT-047</t>
  </si>
  <si>
    <t>ATT-048</t>
  </si>
  <si>
    <t>ATT-049</t>
  </si>
  <si>
    <t>ATT-050</t>
  </si>
  <si>
    <t>ATT-051</t>
  </si>
  <si>
    <t>ATT-052</t>
  </si>
  <si>
    <t>ATT-053</t>
  </si>
  <si>
    <t>ATT-054</t>
  </si>
  <si>
    <t>ATT-055</t>
  </si>
  <si>
    <t>ATT-056</t>
  </si>
  <si>
    <t>ATT-057</t>
  </si>
  <si>
    <t>ATT-058</t>
  </si>
  <si>
    <t>ATT-059</t>
  </si>
  <si>
    <t>ATT-060</t>
  </si>
  <si>
    <t>ATT-061</t>
  </si>
  <si>
    <t>ATT-062</t>
  </si>
  <si>
    <t>ATT-063</t>
  </si>
  <si>
    <t>ATT-064</t>
  </si>
  <si>
    <t>ATT-065</t>
  </si>
  <si>
    <t>ATT-066</t>
  </si>
  <si>
    <t>ATT-067</t>
  </si>
  <si>
    <t>ATT-068</t>
  </si>
  <si>
    <t>ATT-069</t>
  </si>
  <si>
    <t>ATT-070</t>
  </si>
  <si>
    <t>ATT-071</t>
  </si>
  <si>
    <t>ATT-072</t>
  </si>
  <si>
    <t>ATT-073</t>
  </si>
  <si>
    <t>ATT-074</t>
  </si>
  <si>
    <t>ATT-075</t>
  </si>
  <si>
    <t>ATT-076</t>
  </si>
  <si>
    <t>ATT-077</t>
  </si>
  <si>
    <t>ATT-078</t>
  </si>
  <si>
    <t>ATT-079</t>
  </si>
  <si>
    <t>ATT-080</t>
  </si>
  <si>
    <t>ATT-081</t>
  </si>
  <si>
    <t>ATT-082</t>
  </si>
  <si>
    <t>ATT-083</t>
  </si>
  <si>
    <t>ATT-084</t>
  </si>
  <si>
    <t>ATT-085</t>
  </si>
  <si>
    <t>ATT-086</t>
  </si>
  <si>
    <t>ATT-087</t>
  </si>
  <si>
    <t>ATT-088</t>
  </si>
  <si>
    <t>ATT-089</t>
  </si>
  <si>
    <t>ATT-090</t>
  </si>
  <si>
    <t>ATT-091</t>
  </si>
  <si>
    <t>ATT-092</t>
  </si>
  <si>
    <t>ATT-093</t>
  </si>
  <si>
    <t>ATT-094</t>
  </si>
  <si>
    <t>ATT-095</t>
  </si>
  <si>
    <t>ATT-096</t>
  </si>
  <si>
    <t>ATT-097</t>
  </si>
  <si>
    <t>ATT-098</t>
  </si>
  <si>
    <t>ATT-099</t>
  </si>
  <si>
    <t>ATT-100</t>
  </si>
  <si>
    <t>Blood_Pressure (Updated)</t>
  </si>
  <si>
    <t>Clock_In (Updated)</t>
  </si>
  <si>
    <t>Clock_Out (Updated)</t>
  </si>
  <si>
    <t>Hours_Worked (Updated)</t>
  </si>
  <si>
    <t>Shift_Type (Updated)</t>
  </si>
  <si>
    <t>Attendance_Status (Updated)</t>
  </si>
  <si>
    <t>🏥 NIGERIA COMMUNITY HEALTH CENTRE</t>
  </si>
  <si>
    <t>Entry-Level Data Analytics Exercise — Analyst Task Guide</t>
  </si>
  <si>
    <t>📂  ABOUT THIS DATASET</t>
  </si>
  <si>
    <t>Sheet 1 — Patient_Visits</t>
  </si>
  <si>
    <t>200 rows. Records of patient visits to a community hospital. Has dirty issues.</t>
  </si>
  <si>
    <t>Sheet 2 — Pharmacy_Sales</t>
  </si>
  <si>
    <t>150 rows. Drug sales records from the hospital pharmacy.</t>
  </si>
  <si>
    <t>Sheet 3 — Staff_Attendance</t>
  </si>
  <si>
    <t>100 rows. Daily staff clock-in/clock-out records.</t>
  </si>
  <si>
    <t>🔴  DIRTY ISSUES TO FIND &amp; FIX</t>
  </si>
  <si>
    <t>Patient_Visits Sheet:</t>
  </si>
  <si>
    <t>1. Missing patient names (blank cells)  |  2. Extra spaces in names (use TRIM)</t>
  </si>
  <si>
    <t>3. Negative or impossible ages (e.g. -3, 150)  |  4. Inconsistent gender coding (M/F/male/0/1)</t>
  </si>
  <si>
    <t>5. Future visit dates (year 2027+)  |  6. Missing diagnosis entries (blank)</t>
  </si>
  <si>
    <t>7. Impossible blood pressure (Systolic LESS THAN Diastolic)  |  8. Temperature in Fahrenheit mixed into Celsius column (values above 95)</t>
  </si>
  <si>
    <t>9. Negative bill amounts  |  10. Bill = 0 but Payment Status = Paid  |  11. Duplicate Patient_ID</t>
  </si>
  <si>
    <t>Pharmacy_Sales Sheet:</t>
  </si>
  <si>
    <t>12. Missing Patient_ID  |  13. Negative quantity sold  |  14. Total ≠ Quantity × Unit Price</t>
  </si>
  <si>
    <t>15. Future sale dates  |  16. Prescription required=Yes but Provided=No  |  17. Expired drugs sold</t>
  </si>
  <si>
    <t>18. Negative stock after sale</t>
  </si>
  <si>
    <t>Staff_Attendance Sheet:</t>
  </si>
  <si>
    <t>19. Clock-out time BEFORE clock-in time  |  20. Hours_Worked ≠ actual difference</t>
  </si>
  <si>
    <t>21. Future attendance dates  |  22. Negative hours worked  |  23. Status=Present but no clock-in recorded</t>
  </si>
  <si>
    <t>✅  YOUR TASKS (5 Tasks, All Beginner-Friendly but Professional)</t>
  </si>
  <si>
    <t>TASK 1 — DATA CLEANING</t>
  </si>
  <si>
    <t>Tools: Excel or Python (pandas)</t>
  </si>
  <si>
    <t>Find and fix ALL 23 dirty issues listed above. For each issue: (a) identify which rows are affected, (b) decide how to fix it — correct the value, replace with blank, or flag it with a note, (c) document what you did in a new column called 'Data_Issue_Flag'.</t>
  </si>
  <si>
    <t>Standardise Gender to only 'Male' or 'Female'. Convert all Fahrenheit temperatures to Celsius using: C = (F - 32) × 5/9. Trim all extra spaces from names.</t>
  </si>
  <si>
    <t>🎯 Output: A clean version of each sheet saved separately as Patient_Visits_CLEAN, Pharmacy_Sales_CLEAN, Staff_Attendance_CLEAN.</t>
  </si>
  <si>
    <t>TASK 2 — EXPLORATORY DATA ANALYSIS</t>
  </si>
  <si>
    <t>TASK 2 — EXPLORATORY DATA ANALYSIS (EDA)</t>
  </si>
  <si>
    <t>Tools: Excel Pivot Tables or Python</t>
  </si>
  <si>
    <t>Using the CLEAN Patient_Visits data, answer these questions with numbers and tables:</t>
  </si>
  <si>
    <t>1. How many patients visited each Department? Which department had the most visits?</t>
  </si>
  <si>
    <t>2. What is the average Bill Amount by Payment Method? Which method brings in the most revenue?</t>
  </si>
  <si>
    <t>3. What are the top 5 most common diagnoses?</t>
  </si>
  <si>
    <t>4. How many patients are marked as needing Follow-Up? What % is that of total visits?</t>
  </si>
  <si>
    <t>5. What is the gender split of patients? (Count of Male vs Female)</t>
  </si>
  <si>
    <t>6. Which state sent the most patients to this facility?</t>
  </si>
  <si>
    <t>🎯 Output: A summary table answering each question. Use Pivot Tables in Excel or groupby() in Python.</t>
  </si>
  <si>
    <t>TASK 3 — FINANCIAL ANALYSIS</t>
  </si>
  <si>
    <t>TASK 3 — HOSPITAL REVENUE &amp; PHARMACY FINANCIAL ANALYSIS</t>
  </si>
  <si>
    <t>Tools: Excel formulas or Python</t>
  </si>
  <si>
    <t>Using Patient_Visits_CLEAN and Pharmacy_Sales_CLEAN, calculate:</t>
  </si>
  <si>
    <t>1. Total revenue collected vs total billed — how much is still Unpaid or Pending? (Revenue Gap Analysis)</t>
  </si>
  <si>
    <t>2. Monthly revenue trend — total bill amounts grouped by month. Is revenue growing or falling?</t>
  </si>
  <si>
    <t>3. Pharmacy: Total sales value per drug. Which 3 drugs generate the highest revenue?</t>
  </si>
  <si>
    <t>4. Find records where Prescription was Required but Not Provided — what is the total sales value of these non-compliant transactions? (Compliance Risk)</t>
  </si>
  <si>
    <t>5. Calculate the value of expired drugs that were still sold — this is a financial and legal liability.</t>
  </si>
  <si>
    <t>🎯 Output: A financial summary table with all 5 metrics clearly labelled.</t>
  </si>
  <si>
    <t>TASK 4 — DATA VISUALISATION</t>
  </si>
  <si>
    <t>TASK 4 — CHARTS &amp; VISUALISATION</t>
  </si>
  <si>
    <t>Tools: Excel Charts, Python (matplotlib/seaborn), or Power BI</t>
  </si>
  <si>
    <t>Create the following 5 charts (each must have a title, axis labels, and be properly formatted):</t>
  </si>
  <si>
    <t>Chart 1 (Bar Chart): Number of visits per Department — which department is busiest?</t>
  </si>
  <si>
    <t>Chart 2 (Pie Chart): Patient gender distribution (Male vs Female)</t>
  </si>
  <si>
    <t>Chart 3 (Line Chart): Monthly total revenue trend (Jan–Dec 2023)</t>
  </si>
  <si>
    <t>Chart 4 (Horizontal Bar): Top 5 diagnoses by frequency</t>
  </si>
  <si>
    <t>Chart 5 (Stacked Bar): Payment Status breakdown (Paid/Unpaid/Pending) by Payment Method</t>
  </si>
  <si>
    <t>TASK 5 — SUMMARY REPORT</t>
  </si>
  <si>
    <t>TASK 5 — WRITE A SIMPLE ANALYST REPORT</t>
  </si>
  <si>
    <t>Tools: Word, Google Docs, or Markdown</t>
  </si>
  <si>
    <t>Section 1 — Data Quality Summary: How many dirty records did you find? What were the most serious issues? What risks do they create?</t>
  </si>
  <si>
    <t>Row Labels</t>
  </si>
  <si>
    <t>Grand Total</t>
  </si>
  <si>
    <t>Count of Patient_ID</t>
  </si>
  <si>
    <t>Sum of Bill_Amount_NGN</t>
  </si>
  <si>
    <t>Average of Bill_Amount_NGN</t>
  </si>
  <si>
    <t>Month</t>
  </si>
  <si>
    <t>May</t>
  </si>
  <si>
    <t>Sum of Total_Price_NGN (Updated)</t>
  </si>
  <si>
    <t>Column Labels</t>
  </si>
  <si>
    <t>January</t>
  </si>
  <si>
    <t>February</t>
  </si>
  <si>
    <t>March</t>
  </si>
  <si>
    <t>April</t>
  </si>
  <si>
    <t>June</t>
  </si>
  <si>
    <t>July</t>
  </si>
  <si>
    <t>August</t>
  </si>
  <si>
    <t>September</t>
  </si>
  <si>
    <t>October</t>
  </si>
  <si>
    <t>November</t>
  </si>
  <si>
    <t>December</t>
  </si>
  <si>
    <t>Column1</t>
  </si>
  <si>
    <t>🎯 Output: All 5 charts saved in one file or on one dashboard sheet.</t>
  </si>
  <si>
    <t>Write a report addressed to the Hospital Manager. Your report must include:</t>
  </si>
  <si>
    <t>Section 3 — Recommendations: Give specific, actionable things the hospital should do to improve its data quality and operations.</t>
  </si>
  <si>
    <t>Section 2 — Key Findings: The most important things you discovered from your EDA and financial analysis. Use actual numbers from your work.</t>
  </si>
  <si>
    <t>🎯 Output: A clean, professional Word report. You are writing to a decision-maker — no jargon, clear language, real numbers.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</si>
</sst>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F400]h:mm:ss\ AM/PM"/>
    <numFmt numFmtId="165" formatCode="[$₦-466]\ #,##0.00"/>
    <numFmt numFmtId="166" formatCode="_-[$₦-466]\ * #,##0.00_-;\-[$₦-466]\ * #,##0.00_-;_-[$₦-466]\ * &quot;-&quot;??_-;_-@_-"/>
    <numFmt numFmtId="167" formatCode="_-* #,##0.00\ [$₦-467]_-;\-* #,##0.00\ [$₦-467]_-;_-* &quot;-&quot;??\ [$₦-467]_-;_-@_-"/>
    <numFmt numFmtId="168" formatCode="0.0%"/>
    <numFmt numFmtId="169" formatCode="_-[$₦-470]* #,##0.0_-;\-[$₦-470]* #,##0.0_-;_-[$₦-470]* &quot;-&quot;??_-;_-@_-"/>
    <numFmt numFmtId="170" formatCode="_-[$₦-46A]* #,##0_-;\-[$₦-46A]* #,##0_-;_-[$₦-46A]* &quot;-&quot;??_-;_-@_-"/>
    <numFmt numFmtId="171" formatCode="_-[$₦-471]\ * #,##0_-;\-[$₦-471]\ * #,##0_-;_-[$₦-471]\ * &quot;-&quot;??_-;_-@_-"/>
  </numFmts>
  <fonts count="11" x14ac:knownFonts="1">
    <font>
      <sz val="11"/>
      <color theme="1"/>
      <name val="Aptos Narrow"/>
      <family val="2"/>
      <scheme val="minor"/>
    </font>
    <font>
      <sz val="8"/>
      <name val="Aptos Narrow"/>
      <family val="2"/>
      <scheme val="minor"/>
    </font>
    <font>
      <b/>
      <sz val="14"/>
      <color rgb="FF2E75B6"/>
      <name val="Arial"/>
      <charset val="1"/>
    </font>
    <font>
      <b/>
      <sz val="11"/>
      <color rgb="FFFFFFFF"/>
      <name val="Arial"/>
      <charset val="1"/>
    </font>
    <font>
      <sz val="10"/>
      <name val="Arial"/>
      <charset val="1"/>
    </font>
    <font>
      <b/>
      <sz val="10"/>
      <color rgb="FF2E75B6"/>
      <name val="Arial"/>
      <charset val="1"/>
    </font>
    <font>
      <b/>
      <sz val="10"/>
      <name val="Arial"/>
      <charset val="1"/>
    </font>
    <font>
      <b/>
      <sz val="11"/>
      <color rgb="FFFF0000"/>
      <name val="Arial"/>
      <charset val="1"/>
    </font>
    <font>
      <b/>
      <sz val="11"/>
      <color rgb="FF2E75B6"/>
      <name val="Arial"/>
      <charset val="1"/>
    </font>
    <font>
      <b/>
      <sz val="11"/>
      <color rgb="FF375623"/>
      <name val="Arial"/>
      <charset val="1"/>
    </font>
    <font>
      <b/>
      <sz val="11"/>
      <color theme="1"/>
      <name val="Aptos Narrow"/>
      <family val="2"/>
      <scheme val="minor"/>
    </font>
  </fonts>
  <fills count="7">
    <fill>
      <patternFill patternType="none"/>
    </fill>
    <fill>
      <patternFill patternType="gray125"/>
    </fill>
    <fill>
      <patternFill patternType="solid">
        <fgColor rgb="FF2E75B6"/>
        <bgColor rgb="FF0066CC"/>
      </patternFill>
    </fill>
    <fill>
      <patternFill patternType="solid">
        <fgColor rgb="FFBDD7EE"/>
        <bgColor rgb="FF99CCFF"/>
      </patternFill>
    </fill>
    <fill>
      <patternFill patternType="solid">
        <fgColor rgb="FFFCE4D6"/>
        <bgColor rgb="FFE2EFDA"/>
      </patternFill>
    </fill>
    <fill>
      <patternFill patternType="solid">
        <fgColor rgb="FFE2EFDA"/>
        <bgColor rgb="FFDEEAF1"/>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22">
    <xf numFmtId="0" fontId="0" fillId="0" borderId="0" xfId="0"/>
    <xf numFmtId="14" fontId="0" fillId="0" borderId="0" xfId="0" applyNumberFormat="1"/>
    <xf numFmtId="164" fontId="0" fillId="0" borderId="0" xfId="0" applyNumberFormat="1"/>
    <xf numFmtId="0" fontId="2" fillId="2" borderId="0" xfId="0" applyFont="1" applyFill="1" applyAlignment="1">
      <alignment vertical="center" wrapText="1"/>
    </xf>
    <xf numFmtId="0" fontId="3" fillId="2" borderId="0" xfId="0" applyFont="1" applyFill="1" applyAlignment="1">
      <alignment vertical="center" wrapText="1"/>
    </xf>
    <xf numFmtId="0" fontId="4" fillId="0" borderId="0" xfId="0" applyFont="1" applyAlignment="1">
      <alignment vertical="center" wrapText="1"/>
    </xf>
    <xf numFmtId="0" fontId="5" fillId="3" borderId="0" xfId="0" applyFont="1" applyFill="1" applyAlignment="1">
      <alignment vertical="center" wrapText="1"/>
    </xf>
    <xf numFmtId="0" fontId="6" fillId="0" borderId="0" xfId="0" applyFont="1" applyAlignment="1">
      <alignment vertical="center" wrapText="1"/>
    </xf>
    <xf numFmtId="0" fontId="7" fillId="4" borderId="0" xfId="0" applyFont="1" applyFill="1" applyAlignment="1">
      <alignment vertical="center" wrapText="1"/>
    </xf>
    <xf numFmtId="0" fontId="8" fillId="5" borderId="0" xfId="0" applyFont="1" applyFill="1" applyAlignment="1">
      <alignment vertical="center" wrapText="1"/>
    </xf>
    <xf numFmtId="0" fontId="6" fillId="3" borderId="0" xfId="0" applyFont="1" applyFill="1" applyAlignment="1">
      <alignment vertical="center" wrapText="1"/>
    </xf>
    <xf numFmtId="0" fontId="9" fillId="5" borderId="0" xfId="0" applyFont="1" applyFill="1" applyAlignment="1">
      <alignment vertical="center" wrapText="1"/>
    </xf>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10" fillId="6" borderId="1" xfId="0" applyFont="1" applyFill="1" applyBorder="1"/>
    <xf numFmtId="167" fontId="0" fillId="0" borderId="0" xfId="0" applyNumberFormat="1"/>
    <xf numFmtId="168" fontId="0" fillId="0" borderId="0" xfId="0" applyNumberFormat="1"/>
    <xf numFmtId="169" fontId="0" fillId="0" borderId="0" xfId="0" applyNumberFormat="1"/>
    <xf numFmtId="170" fontId="0" fillId="0" borderId="0" xfId="0" applyNumberFormat="1"/>
    <xf numFmtId="171" fontId="0" fillId="0" borderId="0" xfId="0" applyNumberFormat="1"/>
  </cellXfs>
  <cellStyles count="1">
    <cellStyle name="Normal" xfId="0" builtinId="0"/>
  </cellStyles>
  <dxfs count="40">
    <dxf>
      <numFmt numFmtId="0" formatCode="General"/>
    </dxf>
    <dxf>
      <numFmt numFmtId="0" formatCode="General"/>
    </dxf>
    <dxf>
      <numFmt numFmtId="164" formatCode="[$-F400]h:mm:ss\ AM/PM"/>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0" formatCode="_-[$₦-46A]* #,##0_-;\-[$₦-46A]* #,##0_-;_-[$₦-46A]* &quot;-&quot;??_-;_-@_-"/>
    </dxf>
    <dxf>
      <numFmt numFmtId="170" formatCode="_-[$₦-46A]* #,##0_-;\-[$₦-46A]* #,##0_-;_-[$₦-46A]* &quot;-&quot;??_-;_-@_-"/>
    </dxf>
    <dxf>
      <numFmt numFmtId="171" formatCode="_-[$₦-471]\ * #,##0_-;\-[$₦-471]\ * #,##0_-;_-[$₦-471]\ * &quot;-&quot;??_-;_-@_-"/>
    </dxf>
    <dxf>
      <numFmt numFmtId="170" formatCode="_-[$₦-46A]* #,##0_-;\-[$₦-46A]* #,##0_-;_-[$₦-46A]* &quot;-&quot;??_-;_-@_-"/>
    </dxf>
    <dxf>
      <numFmt numFmtId="167" formatCode="_-* #,##0.00\ [$₦-467]_-;\-* #,##0.00\ [$₦-467]_-;_-* &quot;-&quot;??\ [$₦-467]_-;_-@_-"/>
    </dxf>
    <dxf>
      <numFmt numFmtId="168" formatCode="0.0%"/>
    </dxf>
    <dxf>
      <numFmt numFmtId="13" formatCode="0%"/>
    </dxf>
    <dxf>
      <numFmt numFmtId="169" formatCode="_-[$₦-470]* #,##0.0_-;\-[$₦-470]* #,##0.0_-;_-[$₦-470]* &quot;-&quot;??_-;_-@_-"/>
    </dxf>
  </dxfs>
  <tableStyles count="0" defaultTableStyle="TableStyleMedium2" defaultPivotStyle="PivotStyleLight16"/>
  <colors>
    <mruColors>
      <color rgb="FF1D7C5B"/>
      <color rgb="FF000000"/>
      <color rgb="FF2F5A49"/>
      <color rgb="FF75A994"/>
      <color rgb="FFC2E0D4"/>
      <color rgb="FFFFFFFF"/>
      <color rgb="FFF2FA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pivotCacheDefinition" Target="pivotCache/pivotCacheDefinition9.xml"/><Relationship Id="rId39" Type="http://schemas.openxmlformats.org/officeDocument/2006/relationships/sharedStrings" Target="sharedStrings.xml"/><Relationship Id="rId21" Type="http://schemas.openxmlformats.org/officeDocument/2006/relationships/pivotCacheDefinition" Target="pivotCache/pivotCacheDefinition4.xml"/><Relationship Id="rId34" Type="http://schemas.microsoft.com/office/2007/relationships/slicerCache" Target="slicerCaches/slicerCache3.xml"/><Relationship Id="rId42" Type="http://schemas.openxmlformats.org/officeDocument/2006/relationships/customXml" Target="../customXml/item1.xml"/><Relationship Id="rId47" Type="http://schemas.openxmlformats.org/officeDocument/2006/relationships/customXml" Target="../customXml/item6.xml"/><Relationship Id="rId50" Type="http://schemas.openxmlformats.org/officeDocument/2006/relationships/customXml" Target="../customXml/item9.xml"/><Relationship Id="rId55"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2.xml"/><Relationship Id="rId11" Type="http://schemas.openxmlformats.org/officeDocument/2006/relationships/worksheet" Target="worksheets/sheet11.xml"/><Relationship Id="rId24" Type="http://schemas.openxmlformats.org/officeDocument/2006/relationships/pivotCacheDefinition" Target="pivotCache/pivotCacheDefinition7.xml"/><Relationship Id="rId32" Type="http://schemas.microsoft.com/office/2007/relationships/slicerCache" Target="slicerCaches/slicerCache1.xml"/><Relationship Id="rId37" Type="http://schemas.openxmlformats.org/officeDocument/2006/relationships/connections" Target="connections.xml"/><Relationship Id="rId40" Type="http://schemas.openxmlformats.org/officeDocument/2006/relationships/powerPivotData" Target="model/item.data"/><Relationship Id="rId45" Type="http://schemas.openxmlformats.org/officeDocument/2006/relationships/customXml" Target="../customXml/item4.xml"/><Relationship Id="rId53" Type="http://schemas.openxmlformats.org/officeDocument/2006/relationships/customXml" Target="../customXml/item12.xml"/><Relationship Id="rId58" Type="http://schemas.openxmlformats.org/officeDocument/2006/relationships/customXml" Target="../customXml/item17.xml"/><Relationship Id="rId5" Type="http://schemas.openxmlformats.org/officeDocument/2006/relationships/worksheet" Target="worksheets/sheet5.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pivotCacheDefinition" Target="pivotCache/pivotCacheDefinition10.xml"/><Relationship Id="rId30" Type="http://schemas.openxmlformats.org/officeDocument/2006/relationships/pivotCacheDefinition" Target="pivotCache/pivotCacheDefinition13.xml"/><Relationship Id="rId35" Type="http://schemas.microsoft.com/office/2007/relationships/slicerCache" Target="slicerCaches/slicerCache4.xml"/><Relationship Id="rId43" Type="http://schemas.openxmlformats.org/officeDocument/2006/relationships/customXml" Target="../customXml/item2.xml"/><Relationship Id="rId48" Type="http://schemas.openxmlformats.org/officeDocument/2006/relationships/customXml" Target="../customXml/item7.xml"/><Relationship Id="rId56" Type="http://schemas.openxmlformats.org/officeDocument/2006/relationships/customXml" Target="../customXml/item15.xml"/><Relationship Id="rId8" Type="http://schemas.openxmlformats.org/officeDocument/2006/relationships/worksheet" Target="worksheets/sheet8.xml"/><Relationship Id="rId51" Type="http://schemas.openxmlformats.org/officeDocument/2006/relationships/customXml" Target="../customXml/item1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8.xml"/><Relationship Id="rId33" Type="http://schemas.microsoft.com/office/2007/relationships/slicerCache" Target="slicerCaches/slicerCache2.xml"/><Relationship Id="rId38" Type="http://schemas.openxmlformats.org/officeDocument/2006/relationships/styles" Target="styles.xml"/><Relationship Id="rId46" Type="http://schemas.openxmlformats.org/officeDocument/2006/relationships/customXml" Target="../customXml/item5.xml"/><Relationship Id="rId59" Type="http://schemas.openxmlformats.org/officeDocument/2006/relationships/customXml" Target="../customXml/item18.xml"/><Relationship Id="rId20" Type="http://schemas.openxmlformats.org/officeDocument/2006/relationships/pivotCacheDefinition" Target="pivotCache/pivotCacheDefinition3.xml"/><Relationship Id="rId41" Type="http://schemas.openxmlformats.org/officeDocument/2006/relationships/calcChain" Target="calcChain.xml"/><Relationship Id="rId54"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pivotCacheDefinition" Target="pivotCache/pivotCacheDefinition11.xml"/><Relationship Id="rId36" Type="http://schemas.openxmlformats.org/officeDocument/2006/relationships/theme" Target="theme/theme1.xml"/><Relationship Id="rId49" Type="http://schemas.openxmlformats.org/officeDocument/2006/relationships/customXml" Target="../customXml/item8.xml"/><Relationship Id="rId57" Type="http://schemas.openxmlformats.org/officeDocument/2006/relationships/customXml" Target="../customXml/item16.xml"/><Relationship Id="rId10" Type="http://schemas.openxmlformats.org/officeDocument/2006/relationships/worksheet" Target="worksheets/sheet10.xml"/><Relationship Id="rId31" Type="http://schemas.openxmlformats.org/officeDocument/2006/relationships/pivotCacheDefinition" Target="pivotCache/pivotCacheDefinition14.xml"/><Relationship Id="rId44" Type="http://schemas.openxmlformats.org/officeDocument/2006/relationships/customXml" Target="../customXml/item3.xml"/><Relationship Id="rId52"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[Novalife_Report.xlsx]Top 5 Diagnoses!PivotTable16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Diagnoses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Diagnoses'!$B$1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Diagnoses'!$A$2:$A$7</c:f>
              <c:strCache>
                <c:ptCount val="5"/>
                <c:pt idx="0">
                  <c:v>Malaria</c:v>
                </c:pt>
                <c:pt idx="1">
                  <c:v>Upper Respiratory Infection</c:v>
                </c:pt>
                <c:pt idx="2">
                  <c:v>Anaemia</c:v>
                </c:pt>
                <c:pt idx="3">
                  <c:v>Dental Caries</c:v>
                </c:pt>
                <c:pt idx="4">
                  <c:v>Hypertension</c:v>
                </c:pt>
              </c:strCache>
            </c:strRef>
          </c:cat>
          <c:val>
            <c:numRef>
              <c:f>'Top 5 Diagnoses'!$B$2:$B$7</c:f>
              <c:numCache>
                <c:formatCode>General</c:formatCode>
                <c:ptCount val="5"/>
                <c:pt idx="0">
                  <c:v>31</c:v>
                </c:pt>
                <c:pt idx="1">
                  <c:v>27</c:v>
                </c:pt>
                <c:pt idx="2">
                  <c:v>24</c:v>
                </c:pt>
                <c:pt idx="3">
                  <c:v>19</c:v>
                </c:pt>
                <c:pt idx="4">
                  <c:v>19</c:v>
                </c:pt>
              </c:numCache>
            </c:numRef>
          </c:val>
          <c:extLst>
            <c:ext xmlns:c16="http://schemas.microsoft.com/office/drawing/2014/chart" uri="{C3380CC4-5D6E-409C-BE32-E72D297353CC}">
              <c16:uniqueId val="{00000000-28AA-40AF-840E-DA199BF2DBE9}"/>
            </c:ext>
          </c:extLst>
        </c:ser>
        <c:dLbls>
          <c:dLblPos val="outEnd"/>
          <c:showLegendKey val="0"/>
          <c:showVal val="1"/>
          <c:showCatName val="0"/>
          <c:showSerName val="0"/>
          <c:showPercent val="0"/>
          <c:showBubbleSize val="0"/>
        </c:dLbls>
        <c:gapWidth val="182"/>
        <c:axId val="528695344"/>
        <c:axId val="528682864"/>
      </c:barChart>
      <c:catAx>
        <c:axId val="528695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682864"/>
        <c:crosses val="autoZero"/>
        <c:auto val="1"/>
        <c:lblAlgn val="ctr"/>
        <c:lblOffset val="100"/>
        <c:noMultiLvlLbl val="0"/>
      </c:catAx>
      <c:valAx>
        <c:axId val="528682864"/>
        <c:scaling>
          <c:orientation val="minMax"/>
        </c:scaling>
        <c:delete val="1"/>
        <c:axPos val="b"/>
        <c:numFmt formatCode="General" sourceLinked="1"/>
        <c:majorTickMark val="none"/>
        <c:minorTickMark val="none"/>
        <c:tickLblPos val="nextTo"/>
        <c:crossAx val="52869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[Novalife_Report.xlsx]Follow-up Rate!PivotTable17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Follow-up</a:t>
            </a:r>
            <a:r>
              <a:rPr lang="en-US" baseline="0"/>
              <a:t> Rate</a:t>
            </a:r>
            <a:endParaRPr lang="en-US"/>
          </a:p>
        </c:rich>
      </c:tx>
      <c:layout>
        <c:manualLayout>
          <c:xMode val="edge"/>
          <c:yMode val="edge"/>
          <c:x val="0.37598600174978125"/>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4999999999999991"/>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5555555555555559"/>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'Follow-up Rate'!$B$1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67-4AAA-A03B-F2948AD454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67-4AAA-A03B-F2948AD45490}"/>
              </c:ext>
            </c:extLst>
          </c:dPt>
          <c:dLbls>
            <c:dLbl>
              <c:idx val="0"/>
              <c:layout>
                <c:manualLayout>
                  <c:x val="0.14999999999999991"/>
                  <c:y val="-9.259259259259258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767-4AAA-A03B-F2948AD45490}"/>
                </c:ext>
              </c:extLst>
            </c:dLbl>
            <c:dLbl>
              <c:idx val="1"/>
              <c:layout>
                <c:manualLayout>
                  <c:x val="-0.15555555555555559"/>
                  <c:y val="-1.38888888888888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767-4AAA-A03B-F2948AD4549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'Follow-up Rate'!$A$2:$A$4</c:f>
              <c:strCache>
                <c:ptCount val="2"/>
                <c:pt idx="0">
                  <c:v>No</c:v>
                </c:pt>
                <c:pt idx="1">
                  <c:v>Yes</c:v>
                </c:pt>
              </c:strCache>
            </c:strRef>
          </c:cat>
          <c:val>
            <c:numRef>
              <c:f>'Follow-up Rate'!$B$2:$B$4</c:f>
              <c:numCache>
                <c:formatCode>0.0%</c:formatCode>
                <c:ptCount val="2"/>
                <c:pt idx="0">
                  <c:v>0.52105263157894732</c:v>
                </c:pt>
                <c:pt idx="1">
                  <c:v>0.47894736842105262</c:v>
                </c:pt>
              </c:numCache>
            </c:numRef>
          </c:val>
          <c:extLst>
            <c:ext xmlns:c16="http://schemas.microsoft.com/office/drawing/2014/chart" uri="{C3380CC4-5D6E-409C-BE32-E72D297353CC}">
              <c16:uniqueId val="{00000004-366C-4697-BA3C-810BB097169D}"/>
            </c:ext>
          </c:extLst>
        </c:ser>
        <c:dLbls>
          <c:showLegendKey val="0"/>
          <c:showVal val="1"/>
          <c:showCatName val="0"/>
          <c:showSerName val="0"/>
          <c:showPercent val="0"/>
          <c:showBubbleSize val="0"/>
          <c:showLeaderLines val="1"/>
        </c:dLbls>
        <c:firstSliceAng val="0"/>
        <c:holeSize val="4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[Novalife_Report.xlsx]Gender Count!PivotTable18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5833333333333335"/>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0277777777777779"/>
              <c:y val="-2.77777777777778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5.833333333333323E-2"/>
              <c:y val="0.13888888888888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'Gender Count'!$B$1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53-4026-A0F5-A59F41246E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53-4026-A0F5-A59F41246E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53-4026-A0F5-A59F41246ECD}"/>
              </c:ext>
            </c:extLst>
          </c:dPt>
          <c:dLbls>
            <c:dLbl>
              <c:idx val="0"/>
              <c:layout>
                <c:manualLayout>
                  <c:x val="5.833333333333323E-2"/>
                  <c:y val="0.1388888888888889"/>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553-4026-A0F5-A59F41246ECD}"/>
                </c:ext>
              </c:extLst>
            </c:dLbl>
            <c:dLbl>
              <c:idx val="1"/>
              <c:layout>
                <c:manualLayout>
                  <c:x val="-0.10277777777777779"/>
                  <c:y val="-2.7777777777777863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553-4026-A0F5-A59F41246ECD}"/>
                </c:ext>
              </c:extLst>
            </c:dLbl>
            <c:dLbl>
              <c:idx val="2"/>
              <c:layout>
                <c:manualLayout>
                  <c:x val="-0.15833333333333335"/>
                  <c:y val="-2.7777777777777776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553-4026-A0F5-A59F41246EC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Count'!$A$2:$A$5</c:f>
              <c:strCache>
                <c:ptCount val="3"/>
                <c:pt idx="0">
                  <c:v>Female</c:v>
                </c:pt>
                <c:pt idx="1">
                  <c:v>Male</c:v>
                </c:pt>
                <c:pt idx="2">
                  <c:v>Unknown</c:v>
                </c:pt>
              </c:strCache>
            </c:strRef>
          </c:cat>
          <c:val>
            <c:numRef>
              <c:f>'Gender Count'!$B$2:$B$5</c:f>
              <c:numCache>
                <c:formatCode>General</c:formatCode>
                <c:ptCount val="3"/>
                <c:pt idx="0">
                  <c:v>91</c:v>
                </c:pt>
                <c:pt idx="1">
                  <c:v>91</c:v>
                </c:pt>
                <c:pt idx="2">
                  <c:v>8</c:v>
                </c:pt>
              </c:numCache>
            </c:numRef>
          </c:val>
          <c:extLst>
            <c:ext xmlns:c16="http://schemas.microsoft.com/office/drawing/2014/chart" uri="{C3380CC4-5D6E-409C-BE32-E72D297353CC}">
              <c16:uniqueId val="{00000006-D394-47D0-B207-EE3F0D4DD7C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[Novalife_Report.xlsx]Patient Count by State!PivotTable19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a:t>
            </a:r>
            <a:r>
              <a:rPr lang="en-US" baseline="0"/>
              <a:t> Count by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'Patient Count by State'!$B$1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'Patient Count by State'!$A$2:$A$10</c:f>
              <c:strCache>
                <c:ptCount val="8"/>
                <c:pt idx="0">
                  <c:v>Enugu</c:v>
                </c:pt>
                <c:pt idx="1">
                  <c:v>Oyo</c:v>
                </c:pt>
                <c:pt idx="2">
                  <c:v>Lagos</c:v>
                </c:pt>
                <c:pt idx="3">
                  <c:v>Rivers</c:v>
                </c:pt>
                <c:pt idx="4">
                  <c:v>Kaduna</c:v>
                </c:pt>
                <c:pt idx="5">
                  <c:v>Abuja</c:v>
                </c:pt>
                <c:pt idx="6">
                  <c:v>Kano</c:v>
                </c:pt>
                <c:pt idx="7">
                  <c:v>Delta</c:v>
                </c:pt>
              </c:strCache>
            </c:strRef>
          </c:cat>
          <c:val>
            <c:numRef>
              <c:f>'Patient Count by State'!$B$2:$B$10</c:f>
              <c:numCache>
                <c:formatCode>General</c:formatCode>
                <c:ptCount val="8"/>
                <c:pt idx="0">
                  <c:v>40</c:v>
                </c:pt>
                <c:pt idx="1">
                  <c:v>25</c:v>
                </c:pt>
                <c:pt idx="2">
                  <c:v>25</c:v>
                </c:pt>
                <c:pt idx="3">
                  <c:v>24</c:v>
                </c:pt>
                <c:pt idx="4">
                  <c:v>23</c:v>
                </c:pt>
                <c:pt idx="5">
                  <c:v>20</c:v>
                </c:pt>
                <c:pt idx="6">
                  <c:v>18</c:v>
                </c:pt>
                <c:pt idx="7">
                  <c:v>15</c:v>
                </c:pt>
              </c:numCache>
            </c:numRef>
          </c:val>
          <c:extLst>
            <c:ext xmlns:c16="http://schemas.microsoft.com/office/drawing/2014/chart" uri="{C3380CC4-5D6E-409C-BE32-E72D297353CC}">
              <c16:uniqueId val="{00000000-3FDE-4907-BA65-731CB2E9A5D0}"/>
            </c:ext>
          </c:extLst>
        </c:ser>
        <c:dLbls>
          <c:dLblPos val="outEnd"/>
          <c:showLegendKey val="0"/>
          <c:showVal val="1"/>
          <c:showCatName val="0"/>
          <c:showSerName val="0"/>
          <c:showPercent val="0"/>
          <c:showBubbleSize val="0"/>
        </c:dLbls>
        <c:gapWidth val="182"/>
        <c:axId val="528636304"/>
        <c:axId val="528661264"/>
      </c:barChart>
      <c:catAx>
        <c:axId val="528636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661264"/>
        <c:crosses val="autoZero"/>
        <c:auto val="1"/>
        <c:lblAlgn val="ctr"/>
        <c:lblOffset val="100"/>
        <c:noMultiLvlLbl val="0"/>
      </c:catAx>
      <c:valAx>
        <c:axId val="528661264"/>
        <c:scaling>
          <c:orientation val="minMax"/>
        </c:scaling>
        <c:delete val="1"/>
        <c:axPos val="b"/>
        <c:numFmt formatCode="General" sourceLinked="1"/>
        <c:majorTickMark val="none"/>
        <c:minorTickMark val="none"/>
        <c:tickLblPos val="nextTo"/>
        <c:crossAx val="52863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[Novalife_Report.xlsx]Monthly Revenue!PivotTable20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Revenue'!$A$2:$A$14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Revenue'!$B$2:$B$14</c:f>
              <c:numCache>
                <c:formatCode>_-* #,##0.00\ [$₦-467]_-;\-* #,##0.00\ [$₦-467]_-;_-* "-"??\ [$₦-467]_-;_-@_-</c:formatCode>
                <c:ptCount val="12"/>
                <c:pt idx="0">
                  <c:v>1197230</c:v>
                </c:pt>
                <c:pt idx="1">
                  <c:v>744509</c:v>
                </c:pt>
                <c:pt idx="2">
                  <c:v>607910</c:v>
                </c:pt>
                <c:pt idx="3">
                  <c:v>768246</c:v>
                </c:pt>
                <c:pt idx="4">
                  <c:v>761533</c:v>
                </c:pt>
                <c:pt idx="5">
                  <c:v>732212</c:v>
                </c:pt>
                <c:pt idx="6">
                  <c:v>1120303</c:v>
                </c:pt>
                <c:pt idx="7">
                  <c:v>973969</c:v>
                </c:pt>
                <c:pt idx="8">
                  <c:v>792751</c:v>
                </c:pt>
                <c:pt idx="9">
                  <c:v>515372</c:v>
                </c:pt>
                <c:pt idx="10">
                  <c:v>799017</c:v>
                </c:pt>
                <c:pt idx="11">
                  <c:v>1230181</c:v>
                </c:pt>
              </c:numCache>
            </c:numRef>
          </c:val>
          <c:smooth val="0"/>
          <c:extLst>
            <c:ext xmlns:c16="http://schemas.microsoft.com/office/drawing/2014/chart" uri="{C3380CC4-5D6E-409C-BE32-E72D297353CC}">
              <c16:uniqueId val="{00000000-17D7-4A84-AB8B-1BAC033E4B57}"/>
            </c:ext>
          </c:extLst>
        </c:ser>
        <c:dLbls>
          <c:showLegendKey val="0"/>
          <c:showVal val="0"/>
          <c:showCatName val="0"/>
          <c:showSerName val="0"/>
          <c:showPercent val="0"/>
          <c:showBubbleSize val="0"/>
        </c:dLbls>
        <c:marker val="1"/>
        <c:smooth val="0"/>
        <c:axId val="546525168"/>
        <c:axId val="546533328"/>
      </c:lineChart>
      <c:catAx>
        <c:axId val="54652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533328"/>
        <c:crosses val="autoZero"/>
        <c:auto val="1"/>
        <c:lblAlgn val="ctr"/>
        <c:lblOffset val="100"/>
        <c:noMultiLvlLbl val="0"/>
      </c:catAx>
      <c:valAx>
        <c:axId val="546533328"/>
        <c:scaling>
          <c:orientation val="minMax"/>
        </c:scaling>
        <c:delete val="0"/>
        <c:axPos val="l"/>
        <c:numFmt formatCode="_-* #,##0.00\ [$₦-467]_-;\-* #,##0.00\ [$₦-467]_-;_-* &quot;-&quot;??\ [$₦-467]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525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[Novalife_Report.xlsx]Revenue by Payment Status!PivotTable21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Payment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Payment Status'!$B$1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Payment Status'!$A$2:$A$6</c:f>
              <c:strCache>
                <c:ptCount val="4"/>
                <c:pt idx="0">
                  <c:v>Paid</c:v>
                </c:pt>
                <c:pt idx="1">
                  <c:v>Unpaid</c:v>
                </c:pt>
                <c:pt idx="2">
                  <c:v>Pending</c:v>
                </c:pt>
                <c:pt idx="3">
                  <c:v>Waived</c:v>
                </c:pt>
              </c:strCache>
            </c:strRef>
          </c:cat>
          <c:val>
            <c:numRef>
              <c:f>'Revenue by Payment Status'!$B$2:$B$6</c:f>
              <c:numCache>
                <c:formatCode>_-[$₦-46A]* #,##0_-;\-[$₦-46A]* #,##0_-;_-[$₦-46A]* "-"??_-;_-@_-</c:formatCode>
                <c:ptCount val="4"/>
                <c:pt idx="0">
                  <c:v>4103685</c:v>
                </c:pt>
                <c:pt idx="1">
                  <c:v>3317789</c:v>
                </c:pt>
                <c:pt idx="2">
                  <c:v>2821759</c:v>
                </c:pt>
                <c:pt idx="3">
                  <c:v>0</c:v>
                </c:pt>
              </c:numCache>
            </c:numRef>
          </c:val>
          <c:extLst>
            <c:ext xmlns:c16="http://schemas.microsoft.com/office/drawing/2014/chart" uri="{C3380CC4-5D6E-409C-BE32-E72D297353CC}">
              <c16:uniqueId val="{00000000-B569-40F8-826E-32CA7BAF9B34}"/>
            </c:ext>
          </c:extLst>
        </c:ser>
        <c:dLbls>
          <c:dLblPos val="outEnd"/>
          <c:showLegendKey val="0"/>
          <c:showVal val="1"/>
          <c:showCatName val="0"/>
          <c:showSerName val="0"/>
          <c:showPercent val="0"/>
          <c:showBubbleSize val="0"/>
        </c:dLbls>
        <c:gapWidth val="219"/>
        <c:overlap val="-27"/>
        <c:axId val="528644944"/>
        <c:axId val="528665104"/>
      </c:barChart>
      <c:catAx>
        <c:axId val="52864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665104"/>
        <c:crosses val="autoZero"/>
        <c:auto val="1"/>
        <c:lblAlgn val="ctr"/>
        <c:lblOffset val="100"/>
        <c:noMultiLvlLbl val="0"/>
      </c:catAx>
      <c:valAx>
        <c:axId val="528665104"/>
        <c:scaling>
          <c:orientation val="minMax"/>
        </c:scaling>
        <c:delete val="1"/>
        <c:axPos val="l"/>
        <c:numFmt formatCode="_-[$₦-46A]* #,##0_-;\-[$₦-46A]* #,##0_-;_-[$₦-46A]* &quot;-&quot;??_-;_-@_-" sourceLinked="1"/>
        <c:majorTickMark val="none"/>
        <c:minorTickMark val="none"/>
        <c:tickLblPos val="nextTo"/>
        <c:crossAx val="52864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[Novalife_Report.xlsx]Top 3 Drugs by Revenue!PivotTable22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Drugs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1666666666666667"/>
              <c:y val="-0.13888888888888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7222222222222211"/>
              <c:y val="0.148148148148148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6944444444444445"/>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'Top 3 Drugs by Revenue'!$B$1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6156-4818-9437-09146B9C96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6156-4818-9437-09146B9C96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156-4818-9437-09146B9C966B}"/>
              </c:ext>
            </c:extLst>
          </c:dPt>
          <c:dLbls>
            <c:dLbl>
              <c:idx val="0"/>
              <c:layout>
                <c:manualLayout>
                  <c:x val="0.17222222222222211"/>
                  <c:y val="0.14814814814814806"/>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156-4818-9437-09146B9C966B}"/>
                </c:ext>
              </c:extLst>
            </c:dLbl>
            <c:dLbl>
              <c:idx val="1"/>
              <c:layout>
                <c:manualLayout>
                  <c:x val="-0.16944444444444445"/>
                  <c:y val="8.3333333333333329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156-4818-9437-09146B9C966B}"/>
                </c:ext>
              </c:extLst>
            </c:dLbl>
            <c:dLbl>
              <c:idx val="2"/>
              <c:layout>
                <c:manualLayout>
                  <c:x val="-0.11666666666666667"/>
                  <c:y val="-0.1388888888888889"/>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156-4818-9437-09146B9C966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'Top 3 Drugs by Revenue'!$A$2:$A$5</c:f>
              <c:strCache>
                <c:ptCount val="3"/>
                <c:pt idx="0">
                  <c:v>Artemether-Lumefantrine</c:v>
                </c:pt>
                <c:pt idx="1">
                  <c:v>Amlodipine 5mg</c:v>
                </c:pt>
                <c:pt idx="2">
                  <c:v>Vitamin C 500mg</c:v>
                </c:pt>
              </c:strCache>
            </c:strRef>
          </c:cat>
          <c:val>
            <c:numRef>
              <c:f>'Top 3 Drugs by Revenue'!$B$2:$B$5</c:f>
              <c:numCache>
                <c:formatCode>_-[$₦-471]\ * #,##0_-;\-[$₦-471]\ * #,##0_-;_-[$₦-471]\ * "-"??_-;_-@_-</c:formatCode>
                <c:ptCount val="3"/>
                <c:pt idx="0">
                  <c:v>58800</c:v>
                </c:pt>
                <c:pt idx="1">
                  <c:v>26250</c:v>
                </c:pt>
                <c:pt idx="2">
                  <c:v>20100</c:v>
                </c:pt>
              </c:numCache>
            </c:numRef>
          </c:val>
          <c:extLst>
            <c:ext xmlns:c16="http://schemas.microsoft.com/office/drawing/2014/chart" uri="{C3380CC4-5D6E-409C-BE32-E72D297353CC}">
              <c16:uniqueId val="{00000000-6156-4818-9437-09146B9C966B}"/>
            </c:ext>
          </c:extLst>
        </c:ser>
        <c:dLbls>
          <c:showLegendKey val="0"/>
          <c:showVal val="0"/>
          <c:showCatName val="0"/>
          <c:showSerName val="0"/>
          <c:showPercent val="0"/>
          <c:showBubbleSize val="0"/>
          <c:showLeaderLines val="0"/>
        </c:dLbls>
        <c:firstSliceAng val="0"/>
        <c:holeSize val="4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[Novalife_Report.xlsx]Sales by Compliance Status!PivotTable23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Compliance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6111111111111115"/>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23333333333333334"/>
              <c:y val="-0.231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'Sales by Compliance Status'!$B$1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547E-4C6A-879D-D664BD71EC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547E-4C6A-879D-D664BD71EC5F}"/>
              </c:ext>
            </c:extLst>
          </c:dPt>
          <c:dLbls>
            <c:dLbl>
              <c:idx val="0"/>
              <c:layout>
                <c:manualLayout>
                  <c:x val="0.23333333333333334"/>
                  <c:y val="-0.23148148148148148"/>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47E-4C6A-879D-D664BD71EC5F}"/>
                </c:ext>
              </c:extLst>
            </c:dLbl>
            <c:dLbl>
              <c:idx val="1"/>
              <c:layout>
                <c:manualLayout>
                  <c:x val="-0.16111111111111115"/>
                  <c:y val="9.7222222222222224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47E-4C6A-879D-D664BD71EC5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by Compliance Status'!$A$2:$A$4</c:f>
              <c:strCache>
                <c:ptCount val="2"/>
                <c:pt idx="0">
                  <c:v>Yes</c:v>
                </c:pt>
                <c:pt idx="1">
                  <c:v>No</c:v>
                </c:pt>
              </c:strCache>
            </c:strRef>
          </c:cat>
          <c:val>
            <c:numRef>
              <c:f>'Sales by Compliance Status'!$B$2:$B$4</c:f>
              <c:numCache>
                <c:formatCode>_-[$₦-46A]* #,##0_-;\-[$₦-46A]* #,##0_-;_-[$₦-46A]* "-"??_-;_-@_-</c:formatCode>
                <c:ptCount val="2"/>
                <c:pt idx="0">
                  <c:v>179770</c:v>
                </c:pt>
                <c:pt idx="1">
                  <c:v>10950</c:v>
                </c:pt>
              </c:numCache>
            </c:numRef>
          </c:val>
          <c:extLst>
            <c:ext xmlns:c16="http://schemas.microsoft.com/office/drawing/2014/chart" uri="{C3380CC4-5D6E-409C-BE32-E72D297353CC}">
              <c16:uniqueId val="{00000000-547E-4C6A-879D-D664BD71EC5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[Novalife_Report.xlsx]Count of Expiry Drugs Sold!PivotTable24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Sales by Expiry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4166666666666669"/>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20277777777777778"/>
              <c:y val="-0.1250000000000000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'Count of Expiry Drugs Sold'!$B$1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4C99-411A-AECC-628E044FE0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4C99-411A-AECC-628E044FE0A6}"/>
              </c:ext>
            </c:extLst>
          </c:dPt>
          <c:dLbls>
            <c:dLbl>
              <c:idx val="0"/>
              <c:layout>
                <c:manualLayout>
                  <c:x val="0.20277777777777778"/>
                  <c:y val="-0.12500000000000008"/>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C99-411A-AECC-628E044FE0A6}"/>
                </c:ext>
              </c:extLst>
            </c:dLbl>
            <c:dLbl>
              <c:idx val="1"/>
              <c:layout>
                <c:manualLayout>
                  <c:x val="-0.14166666666666669"/>
                  <c:y val="5.5555555555555552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C99-411A-AECC-628E044FE0A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'Count of Expiry Drugs Sold'!$A$2:$A$4</c:f>
              <c:strCache>
                <c:ptCount val="2"/>
                <c:pt idx="0">
                  <c:v>No</c:v>
                </c:pt>
                <c:pt idx="1">
                  <c:v>Yes</c:v>
                </c:pt>
              </c:strCache>
            </c:strRef>
          </c:cat>
          <c:val>
            <c:numRef>
              <c:f>'Count of Expiry Drugs Sold'!$B$2:$B$4</c:f>
              <c:numCache>
                <c:formatCode>_-[$₦-46A]* #,##0_-;\-[$₦-46A]* #,##0_-;_-[$₦-46A]* "-"??_-;_-@_-</c:formatCode>
                <c:ptCount val="2"/>
                <c:pt idx="0">
                  <c:v>181190</c:v>
                </c:pt>
                <c:pt idx="1">
                  <c:v>9530</c:v>
                </c:pt>
              </c:numCache>
            </c:numRef>
          </c:val>
          <c:extLst>
            <c:ext xmlns:c16="http://schemas.microsoft.com/office/drawing/2014/chart" uri="{C3380CC4-5D6E-409C-BE32-E72D297353CC}">
              <c16:uniqueId val="{00000000-4C99-411A-AECC-628E044FE0A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[Novalife_Report.xlsx]Payment Status by Payment Metho!PivotTable25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by Payment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'Payment Status by Payment Metho'!$B$4:$B$5</c:f>
              <c:strCache>
                <c:ptCount val="1"/>
                <c:pt idx="0">
                  <c:v>Paid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Status by Payment Metho'!$A$6:$A$11</c:f>
              <c:strCache>
                <c:ptCount val="5"/>
                <c:pt idx="0">
                  <c:v>Cash</c:v>
                </c:pt>
                <c:pt idx="1">
                  <c:v>HMO</c:v>
                </c:pt>
                <c:pt idx="2">
                  <c:v>POS</c:v>
                </c:pt>
                <c:pt idx="3">
                  <c:v>NHIS</c:v>
                </c:pt>
                <c:pt idx="4">
                  <c:v>Bank Transfer</c:v>
                </c:pt>
              </c:strCache>
            </c:strRef>
          </c:cat>
          <c:val>
            <c:numRef>
              <c:f>'Payment Status by Payment Metho'!$B$6:$B$11</c:f>
              <c:numCache>
                <c:formatCode>General</c:formatCode>
                <c:ptCount val="5"/>
                <c:pt idx="0">
                  <c:v>19</c:v>
                </c:pt>
                <c:pt idx="1">
                  <c:v>20</c:v>
                </c:pt>
                <c:pt idx="2">
                  <c:v>15</c:v>
                </c:pt>
                <c:pt idx="3">
                  <c:v>9</c:v>
                </c:pt>
                <c:pt idx="4">
                  <c:v>8</c:v>
                </c:pt>
              </c:numCache>
            </c:numRef>
          </c:val>
          <c:extLst>
            <c:ext xmlns:c16="http://schemas.microsoft.com/office/drawing/2014/chart" uri="{C3380CC4-5D6E-409C-BE32-E72D297353CC}">
              <c16:uniqueId val="{00000000-6F95-4316-8C27-44BE2CDA0625}"/>
            </c:ext>
          </c:extLst>
        </c:ser>
        <c:ser>
          <c:idx val="1"/>
          <c:order val="1"/>
          <c:tx>
            <c:strRef>
              <c:f>'Payment Status by Payment Metho'!$C$4:$C$5</c:f>
              <c:strCache>
                <c:ptCount val="1"/>
                <c:pt idx="0">
                  <c:v>Pending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Status by Payment Metho'!$A$6:$A$11</c:f>
              <c:strCache>
                <c:ptCount val="5"/>
                <c:pt idx="0">
                  <c:v>Cash</c:v>
                </c:pt>
                <c:pt idx="1">
                  <c:v>HMO</c:v>
                </c:pt>
                <c:pt idx="2">
                  <c:v>POS</c:v>
                </c:pt>
                <c:pt idx="3">
                  <c:v>NHIS</c:v>
                </c:pt>
                <c:pt idx="4">
                  <c:v>Bank Transfer</c:v>
                </c:pt>
              </c:strCache>
            </c:strRef>
          </c:cat>
          <c:val>
            <c:numRef>
              <c:f>'Payment Status by Payment Metho'!$C$6:$C$11</c:f>
              <c:numCache>
                <c:formatCode>General</c:formatCode>
                <c:ptCount val="5"/>
                <c:pt idx="0">
                  <c:v>9</c:v>
                </c:pt>
                <c:pt idx="1">
                  <c:v>11</c:v>
                </c:pt>
                <c:pt idx="2">
                  <c:v>10</c:v>
                </c:pt>
                <c:pt idx="3">
                  <c:v>18</c:v>
                </c:pt>
                <c:pt idx="4">
                  <c:v>3</c:v>
                </c:pt>
              </c:numCache>
            </c:numRef>
          </c:val>
          <c:extLst>
            <c:ext xmlns:c16="http://schemas.microsoft.com/office/drawing/2014/chart" uri="{C3380CC4-5D6E-409C-BE32-E72D297353CC}">
              <c16:uniqueId val="{00000001-6F95-4316-8C27-44BE2CDA0625}"/>
            </c:ext>
          </c:extLst>
        </c:ser>
        <c:ser>
          <c:idx val="2"/>
          <c:order val="2"/>
          <c:tx>
            <c:strRef>
              <c:f>'Payment Status by Payment Metho'!$D$4:$D$5</c:f>
              <c:strCache>
                <c:ptCount val="1"/>
                <c:pt idx="0">
                  <c:v>Unpaid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Status by Payment Metho'!$A$6:$A$11</c:f>
              <c:strCache>
                <c:ptCount val="5"/>
                <c:pt idx="0">
                  <c:v>Cash</c:v>
                </c:pt>
                <c:pt idx="1">
                  <c:v>HMO</c:v>
                </c:pt>
                <c:pt idx="2">
                  <c:v>POS</c:v>
                </c:pt>
                <c:pt idx="3">
                  <c:v>NHIS</c:v>
                </c:pt>
                <c:pt idx="4">
                  <c:v>Bank Transfer</c:v>
                </c:pt>
              </c:strCache>
            </c:strRef>
          </c:cat>
          <c:val>
            <c:numRef>
              <c:f>'Payment Status by Payment Metho'!$D$6:$D$11</c:f>
              <c:numCache>
                <c:formatCode>General</c:formatCode>
                <c:ptCount val="5"/>
                <c:pt idx="0">
                  <c:v>14</c:v>
                </c:pt>
                <c:pt idx="1">
                  <c:v>10</c:v>
                </c:pt>
                <c:pt idx="2">
                  <c:v>11</c:v>
                </c:pt>
                <c:pt idx="3">
                  <c:v>10</c:v>
                </c:pt>
                <c:pt idx="4">
                  <c:v>18</c:v>
                </c:pt>
              </c:numCache>
            </c:numRef>
          </c:val>
          <c:extLst>
            <c:ext xmlns:c16="http://schemas.microsoft.com/office/drawing/2014/chart" uri="{C3380CC4-5D6E-409C-BE32-E72D297353CC}">
              <c16:uniqueId val="{00000002-6F95-4316-8C27-44BE2CDA0625}"/>
            </c:ext>
          </c:extLst>
        </c:ser>
        <c:ser>
          <c:idx val="3"/>
          <c:order val="3"/>
          <c:tx>
            <c:strRef>
              <c:f>'Payment Status by Payment Metho'!$E$4:$E$5</c:f>
              <c:strCache>
                <c:ptCount val="1"/>
                <c:pt idx="0">
                  <c:v>Waived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Status by Payment Metho'!$A$6:$A$11</c:f>
              <c:strCache>
                <c:ptCount val="5"/>
                <c:pt idx="0">
                  <c:v>Cash</c:v>
                </c:pt>
                <c:pt idx="1">
                  <c:v>HMO</c:v>
                </c:pt>
                <c:pt idx="2">
                  <c:v>POS</c:v>
                </c:pt>
                <c:pt idx="3">
                  <c:v>NHIS</c:v>
                </c:pt>
                <c:pt idx="4">
                  <c:v>Bank Transfer</c:v>
                </c:pt>
              </c:strCache>
            </c:strRef>
          </c:cat>
          <c:val>
            <c:numRef>
              <c:f>'Payment Status by Payment Metho'!$E$6:$E$11</c:f>
              <c:numCache>
                <c:formatCode>General</c:formatCode>
                <c:ptCount val="5"/>
                <c:pt idx="0">
                  <c:v>2</c:v>
                </c:pt>
                <c:pt idx="2">
                  <c:v>2</c:v>
                </c:pt>
                <c:pt idx="3">
                  <c:v>1</c:v>
                </c:pt>
              </c:numCache>
            </c:numRef>
          </c:val>
          <c:extLst>
            <c:ext xmlns:c16="http://schemas.microsoft.com/office/drawing/2014/chart" uri="{C3380CC4-5D6E-409C-BE32-E72D297353CC}">
              <c16:uniqueId val="{00000005-6F95-4316-8C27-44BE2CDA0625}"/>
            </c:ext>
          </c:extLst>
        </c:ser>
        <c:dLbls>
          <c:dLblPos val="ctr"/>
          <c:showLegendKey val="0"/>
          <c:showVal val="1"/>
          <c:showCatName val="0"/>
          <c:showSerName val="0"/>
          <c:showPercent val="0"/>
          <c:showBubbleSize val="0"/>
        </c:dLbls>
        <c:gapWidth val="150"/>
        <c:overlap val="100"/>
        <c:axId val="1044166784"/>
        <c:axId val="1044177824"/>
      </c:barChart>
      <c:catAx>
        <c:axId val="1044166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177824"/>
        <c:crosses val="autoZero"/>
        <c:auto val="1"/>
        <c:lblAlgn val="ctr"/>
        <c:lblOffset val="100"/>
        <c:noMultiLvlLbl val="0"/>
      </c:catAx>
      <c:valAx>
        <c:axId val="1044177824"/>
        <c:scaling>
          <c:orientation val="minMax"/>
        </c:scaling>
        <c:delete val="1"/>
        <c:axPos val="b"/>
        <c:numFmt formatCode="General" sourceLinked="1"/>
        <c:majorTickMark val="none"/>
        <c:minorTickMark val="none"/>
        <c:tickLblPos val="nextTo"/>
        <c:crossAx val="104416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[Novalife_Report.xlsx]Visits by Dept.!PivotTable10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Visits</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'Visits by Dept.'!$B$3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'Visits by Dept.'!$A$4:$A$10</c:f>
              <c:strCache>
                <c:ptCount val="6"/>
                <c:pt idx="0">
                  <c:v>Eye Clinic</c:v>
                </c:pt>
                <c:pt idx="1">
                  <c:v>Cardiology</c:v>
                </c:pt>
                <c:pt idx="2">
                  <c:v>General OPD</c:v>
                </c:pt>
                <c:pt idx="3">
                  <c:v>Dental</c:v>
                </c:pt>
                <c:pt idx="4">
                  <c:v>Pediatrics</c:v>
                </c:pt>
                <c:pt idx="5">
                  <c:v>Diabetes Clinic</c:v>
                </c:pt>
              </c:strCache>
            </c:strRef>
          </c:cat>
          <c:val>
            <c:numRef>
              <c:f>'Visits by Dept.'!$B$4:$B$10</c:f>
              <c:numCache>
                <c:formatCode>General</c:formatCode>
                <c:ptCount val="6"/>
                <c:pt idx="0">
                  <c:v>41</c:v>
                </c:pt>
                <c:pt idx="1">
                  <c:v>39</c:v>
                </c:pt>
                <c:pt idx="2">
                  <c:v>35</c:v>
                </c:pt>
                <c:pt idx="3">
                  <c:v>30</c:v>
                </c:pt>
                <c:pt idx="4">
                  <c:v>24</c:v>
                </c:pt>
                <c:pt idx="5">
                  <c:v>21</c:v>
                </c:pt>
              </c:numCache>
            </c:numRef>
          </c:val>
          <c:extLst>
            <c:ext xmlns:c16="http://schemas.microsoft.com/office/drawing/2014/chart" uri="{C3380CC4-5D6E-409C-BE32-E72D297353CC}">
              <c16:uniqueId val="{00000000-D88B-4CDE-9070-540563F7269D}"/>
            </c:ext>
          </c:extLst>
        </c:ser>
        <c:dLbls>
          <c:dLblPos val="outEnd"/>
          <c:showLegendKey val="0"/>
          <c:showVal val="1"/>
          <c:showCatName val="0"/>
          <c:showSerName val="0"/>
          <c:showPercent val="0"/>
          <c:showBubbleSize val="0"/>
        </c:dLbls>
        <c:gapWidth val="182"/>
        <c:axId val="528667984"/>
        <c:axId val="528674704"/>
      </c:barChart>
      <c:catAx>
        <c:axId val="528667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674704"/>
        <c:crosses val="autoZero"/>
        <c:auto val="1"/>
        <c:lblAlgn val="ctr"/>
        <c:lblOffset val="100"/>
        <c:noMultiLvlLbl val="0"/>
      </c:catAx>
      <c:valAx>
        <c:axId val="528674704"/>
        <c:scaling>
          <c:orientation val="minMax"/>
        </c:scaling>
        <c:delete val="1"/>
        <c:axPos val="b"/>
        <c:numFmt formatCode="General" sourceLinked="1"/>
        <c:majorTickMark val="none"/>
        <c:minorTickMark val="none"/>
        <c:tickLblPos val="nextTo"/>
        <c:crossAx val="52866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[Novalife_Report.xlsx]Visits by Dept.!PivotTable10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1D7C5B"/>
                </a:solidFill>
              </a:rPr>
              <a:t>Visits</a:t>
            </a:r>
            <a:r>
              <a:rPr lang="en-US" baseline="0">
                <a:solidFill>
                  <a:srgbClr val="1D7C5B"/>
                </a:solidFill>
              </a:rPr>
              <a:t> by Department</a:t>
            </a:r>
            <a:endParaRPr lang="en-US">
              <a:solidFill>
                <a:srgbClr val="1D7C5B"/>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D7C5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D7C5B"/>
          </a:solidFill>
          <a:ln>
            <a:noFill/>
          </a:ln>
          <a:effectLst/>
        </c:spPr>
      </c:pivotFmt>
    </c:pivotFmts>
    <c:plotArea>
      <c:layout/>
      <c:barChart>
        <c:barDir val="bar"/>
        <c:grouping val="clustered"/>
        <c:varyColors val="0"/>
        <c:ser>
          <c:idx val="0"/>
          <c:order val="0"/>
          <c:tx>
            <c:strRef>
              <c:f>'Visits by Dept.'!$B$3</c:f>
              <c:strCache>
                <c:ptCount val="1"/>
                <c:pt idx="0">
                  <c:v>Total</c:v>
                </c:pt>
              </c:strCache>
            </c:strRef>
          </c:tx>
          <c:spPr>
            <a:solidFill>
              <a:schemeClr val="accent1"/>
            </a:solidFill>
            <a:ln>
              <a:noFill/>
            </a:ln>
            <a:effectLst/>
          </c:spPr>
          <c:invertIfNegative val="0"/>
          <c:dPt>
            <c:idx val="0"/>
            <c:invertIfNegative val="0"/>
            <c:bubble3D val="0"/>
            <c:spPr>
              <a:solidFill>
                <a:srgbClr val="1D7C5B"/>
              </a:solidFill>
              <a:ln>
                <a:noFill/>
              </a:ln>
              <a:effectLst/>
            </c:spPr>
            <c:extLst>
              <c:ext xmlns:c16="http://schemas.microsoft.com/office/drawing/2014/chart" uri="{C3380CC4-5D6E-409C-BE32-E72D297353CC}">
                <c16:uniqueId val="{00000001-7190-4723-B502-E50E2F3B84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D7C5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'Visits by Dept.'!$A$4:$A$10</c:f>
              <c:strCache>
                <c:ptCount val="6"/>
                <c:pt idx="0">
                  <c:v>Eye Clinic</c:v>
                </c:pt>
                <c:pt idx="1">
                  <c:v>Cardiology</c:v>
                </c:pt>
                <c:pt idx="2">
                  <c:v>General OPD</c:v>
                </c:pt>
                <c:pt idx="3">
                  <c:v>Dental</c:v>
                </c:pt>
                <c:pt idx="4">
                  <c:v>Pediatrics</c:v>
                </c:pt>
                <c:pt idx="5">
                  <c:v>Diabetes Clinic</c:v>
                </c:pt>
              </c:strCache>
            </c:strRef>
          </c:cat>
          <c:val>
            <c:numRef>
              <c:f>'Visits by Dept.'!$B$4:$B$10</c:f>
              <c:numCache>
                <c:formatCode>General</c:formatCode>
                <c:ptCount val="6"/>
                <c:pt idx="0">
                  <c:v>41</c:v>
                </c:pt>
                <c:pt idx="1">
                  <c:v>39</c:v>
                </c:pt>
                <c:pt idx="2">
                  <c:v>35</c:v>
                </c:pt>
                <c:pt idx="3">
                  <c:v>30</c:v>
                </c:pt>
                <c:pt idx="4">
                  <c:v>24</c:v>
                </c:pt>
                <c:pt idx="5">
                  <c:v>21</c:v>
                </c:pt>
              </c:numCache>
            </c:numRef>
          </c:val>
          <c:extLst>
            <c:ext xmlns:c16="http://schemas.microsoft.com/office/drawing/2014/chart" uri="{C3380CC4-5D6E-409C-BE32-E72D297353CC}">
              <c16:uniqueId val="{00000002-F9E5-4EAF-9A09-EF1CE4D6253F}"/>
            </c:ext>
          </c:extLst>
        </c:ser>
        <c:dLbls>
          <c:dLblPos val="outEnd"/>
          <c:showLegendKey val="0"/>
          <c:showVal val="1"/>
          <c:showCatName val="0"/>
          <c:showSerName val="0"/>
          <c:showPercent val="0"/>
          <c:showBubbleSize val="0"/>
        </c:dLbls>
        <c:gapWidth val="182"/>
        <c:axId val="528667984"/>
        <c:axId val="528674704"/>
      </c:barChart>
      <c:catAx>
        <c:axId val="528667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D7C5B"/>
                </a:solidFill>
                <a:latin typeface="+mn-lt"/>
                <a:ea typeface="+mn-ea"/>
                <a:cs typeface="+mn-cs"/>
              </a:defRPr>
            </a:pPr>
            <a:endParaRPr lang="en-US"/>
          </a:p>
        </c:txPr>
        <c:crossAx val="528674704"/>
        <c:crosses val="autoZero"/>
        <c:auto val="1"/>
        <c:lblAlgn val="ctr"/>
        <c:lblOffset val="100"/>
        <c:noMultiLvlLbl val="0"/>
      </c:catAx>
      <c:valAx>
        <c:axId val="528674704"/>
        <c:scaling>
          <c:orientation val="minMax"/>
        </c:scaling>
        <c:delete val="1"/>
        <c:axPos val="b"/>
        <c:numFmt formatCode="General" sourceLinked="1"/>
        <c:majorTickMark val="none"/>
        <c:minorTickMark val="none"/>
        <c:tickLblPos val="nextTo"/>
        <c:crossAx val="52866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[Novalife_Report.xlsx]Gender Count!PivotTable18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1D7C5B"/>
                </a:solidFill>
              </a:rPr>
              <a:t>Gender</a:t>
            </a:r>
            <a:r>
              <a:rPr lang="en-US" baseline="0">
                <a:solidFill>
                  <a:srgbClr val="1D7C5B"/>
                </a:solidFill>
              </a:rPr>
              <a:t> Count</a:t>
            </a:r>
            <a:endParaRPr lang="en-US">
              <a:solidFill>
                <a:srgbClr val="1D7C5B"/>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dLbl>
          <c:idx val="0"/>
          <c:layout>
            <c:manualLayout>
              <c:x val="-0.15833333333333335"/>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0277777777777779"/>
              <c:y val="-2.77777777777778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5.833333333333323E-2"/>
              <c:y val="0.13888888888888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5.833333333333323E-2"/>
              <c:y val="0.13888888888888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0277777777777779"/>
              <c:y val="-2.77777777777778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5833333333333335"/>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1D7C5B"/>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1D7C5B"/>
          </a:solidFill>
          <a:ln w="19050">
            <a:solidFill>
              <a:schemeClr val="lt1"/>
            </a:solidFill>
          </a:ln>
          <a:effectLst/>
        </c:spPr>
        <c:dLbl>
          <c:idx val="0"/>
          <c:layout>
            <c:manualLayout>
              <c:x val="5.833333333333323E-2"/>
              <c:y val="0.1388888888888889"/>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1D7C5B"/>
                    </a:solidFill>
                    <a:latin typeface="+mn-lt"/>
                    <a:ea typeface="+mn-ea"/>
                    <a:cs typeface="+mn-cs"/>
                  </a:defRPr>
                </a:pPr>
                <a:fld id="{AC028E98-74F6-422E-BA5A-B616681CE75B}" type="CATEGORYNAME">
                  <a:rPr lang="en-US">
                    <a:solidFill>
                      <a:srgbClr val="1D7C5B"/>
                    </a:solidFill>
                  </a:rPr>
                  <a:pPr>
                    <a:defRPr>
                      <a:solidFill>
                        <a:srgbClr val="1D7C5B"/>
                      </a:solidFill>
                    </a:defRPr>
                  </a:pPr>
                  <a:t>[CATEGORY NAME]</a:t>
                </a:fld>
                <a:r>
                  <a:rPr lang="en-US" baseline="0">
                    <a:solidFill>
                      <a:srgbClr val="1D7C5B"/>
                    </a:solidFill>
                  </a:rPr>
                  <a:t>, </a:t>
                </a:r>
                <a:fld id="{AC5C4628-EBE2-4D71-9D0D-CB6FAB63E9E3}" type="VALUE">
                  <a:rPr lang="en-US" baseline="0">
                    <a:solidFill>
                      <a:srgbClr val="1D7C5B"/>
                    </a:solidFill>
                  </a:rPr>
                  <a:pPr>
                    <a:defRPr>
                      <a:solidFill>
                        <a:srgbClr val="1D7C5B"/>
                      </a:solidFill>
                    </a:defRPr>
                  </a:pPr>
                  <a:t>[VALUE]</a:t>
                </a:fld>
                <a:r>
                  <a:rPr lang="en-US" baseline="0">
                    <a:solidFill>
                      <a:schemeClr val="bg1"/>
                    </a:solidFill>
                  </a:rPr>
                  <a:t>, </a:t>
                </a:r>
                <a:fld id="{2EE14DC3-0B8D-4014-A533-EBF620EADC03}" type="PERCENTAGE">
                  <a:rPr lang="en-US" baseline="0">
                    <a:solidFill>
                      <a:srgbClr val="1D7C5B"/>
                    </a:solidFill>
                  </a:rPr>
                  <a:pPr>
                    <a:defRPr>
                      <a:solidFill>
                        <a:srgbClr val="1D7C5B"/>
                      </a:solidFill>
                    </a:defRPr>
                  </a:pPr>
                  <a:t>[PERCENTAGE]</a:t>
                </a:fld>
                <a:endParaRPr lang="en-US" baseline="0">
                  <a:solidFill>
                    <a:schemeClr val="bg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1D7C5B"/>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1"/>
          </a:solidFill>
          <a:ln w="19050">
            <a:solidFill>
              <a:schemeClr val="lt1"/>
            </a:solidFill>
          </a:ln>
          <a:effectLst/>
        </c:spPr>
        <c:dLbl>
          <c:idx val="0"/>
          <c:layout>
            <c:manualLayout>
              <c:x val="-0.10277777777777779"/>
              <c:y val="-2.777777777777786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1D7C5B"/>
                    </a:solidFill>
                    <a:latin typeface="+mn-lt"/>
                    <a:ea typeface="+mn-ea"/>
                    <a:cs typeface="+mn-cs"/>
                  </a:defRPr>
                </a:pPr>
                <a:fld id="{1F1699B7-F769-4AED-A8A9-D725138F4D69}" type="CATEGORYNAME">
                  <a:rPr lang="en-US">
                    <a:solidFill>
                      <a:srgbClr val="1D7C5B"/>
                    </a:solidFill>
                  </a:rPr>
                  <a:pPr>
                    <a:defRPr>
                      <a:solidFill>
                        <a:srgbClr val="1D7C5B"/>
                      </a:solidFill>
                    </a:defRPr>
                  </a:pPr>
                  <a:t>[CATEGORY NAME]</a:t>
                </a:fld>
                <a:r>
                  <a:rPr lang="en-US" baseline="0">
                    <a:solidFill>
                      <a:srgbClr val="1D7C5B"/>
                    </a:solidFill>
                  </a:rPr>
                  <a:t>, </a:t>
                </a:r>
                <a:fld id="{7F6CAF96-AE39-45D9-9B8A-F7C8249E74EB}" type="VALUE">
                  <a:rPr lang="en-US" baseline="0">
                    <a:solidFill>
                      <a:srgbClr val="1D7C5B"/>
                    </a:solidFill>
                  </a:rPr>
                  <a:pPr>
                    <a:defRPr>
                      <a:solidFill>
                        <a:srgbClr val="1D7C5B"/>
                      </a:solidFill>
                    </a:defRPr>
                  </a:pPr>
                  <a:t>[VALUE]</a:t>
                </a:fld>
                <a:r>
                  <a:rPr lang="en-US" baseline="0">
                    <a:solidFill>
                      <a:srgbClr val="1D7C5B"/>
                    </a:solidFill>
                  </a:rPr>
                  <a:t>, </a:t>
                </a:r>
                <a:fld id="{EC29DD75-D8EC-4D92-81CD-44690056A5F0}" type="PERCENTAGE">
                  <a:rPr lang="en-US" baseline="0">
                    <a:solidFill>
                      <a:srgbClr val="1D7C5B"/>
                    </a:solidFill>
                  </a:rPr>
                  <a:pPr>
                    <a:defRPr>
                      <a:solidFill>
                        <a:srgbClr val="1D7C5B"/>
                      </a:solidFill>
                    </a:defRPr>
                  </a:pPr>
                  <a:t>[PERCENTAGE]</a:t>
                </a:fld>
                <a:endParaRPr lang="en-US" baseline="0">
                  <a:solidFill>
                    <a:srgbClr val="1D7C5B"/>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1D7C5B"/>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accent1"/>
          </a:solidFill>
          <a:ln w="19050">
            <a:solidFill>
              <a:schemeClr val="lt1"/>
            </a:solidFill>
          </a:ln>
          <a:effectLst/>
        </c:spPr>
        <c:dLbl>
          <c:idx val="0"/>
          <c:layout>
            <c:manualLayout>
              <c:x val="-0.15833333333333335"/>
              <c:y val="-2.777777777777777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1D7C5B"/>
                    </a:solidFill>
                    <a:latin typeface="+mn-lt"/>
                    <a:ea typeface="+mn-ea"/>
                    <a:cs typeface="+mn-cs"/>
                  </a:defRPr>
                </a:pPr>
                <a:fld id="{7C26B634-E86F-4468-A4F5-47878F2E1EBC}" type="CATEGORYNAME">
                  <a:rPr lang="en-US">
                    <a:solidFill>
                      <a:srgbClr val="1D7C5B"/>
                    </a:solidFill>
                  </a:rPr>
                  <a:pPr>
                    <a:defRPr>
                      <a:solidFill>
                        <a:srgbClr val="1D7C5B"/>
                      </a:solidFill>
                    </a:defRPr>
                  </a:pPr>
                  <a:t>[CATEGORY NAME]</a:t>
                </a:fld>
                <a:r>
                  <a:rPr lang="en-US" baseline="0">
                    <a:solidFill>
                      <a:srgbClr val="1D7C5B"/>
                    </a:solidFill>
                  </a:rPr>
                  <a:t>, </a:t>
                </a:r>
                <a:fld id="{E68F26D1-8F5F-4ACB-9404-7496C6F45305}" type="VALUE">
                  <a:rPr lang="en-US" baseline="0">
                    <a:solidFill>
                      <a:srgbClr val="1D7C5B"/>
                    </a:solidFill>
                  </a:rPr>
                  <a:pPr>
                    <a:defRPr>
                      <a:solidFill>
                        <a:srgbClr val="1D7C5B"/>
                      </a:solidFill>
                    </a:defRPr>
                  </a:pPr>
                  <a:t>[VALUE]</a:t>
                </a:fld>
                <a:r>
                  <a:rPr lang="en-US" baseline="0">
                    <a:solidFill>
                      <a:srgbClr val="1D7C5B"/>
                    </a:solidFill>
                  </a:rPr>
                  <a:t>, </a:t>
                </a:r>
                <a:fld id="{33635819-977C-48E7-B6B6-909C8E178A3A}" type="PERCENTAGE">
                  <a:rPr lang="en-US" baseline="0">
                    <a:solidFill>
                      <a:srgbClr val="1D7C5B"/>
                    </a:solidFill>
                  </a:rPr>
                  <a:pPr>
                    <a:defRPr>
                      <a:solidFill>
                        <a:srgbClr val="1D7C5B"/>
                      </a:solidFill>
                    </a:defRPr>
                  </a:pPr>
                  <a:t>[PERCENTAGE]</a:t>
                </a:fld>
                <a:endParaRPr lang="en-US" baseline="0">
                  <a:solidFill>
                    <a:srgbClr val="1D7C5B"/>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1D7C5B"/>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'Gender Count'!$B$1</c:f>
              <c:strCache>
                <c:ptCount val="1"/>
                <c:pt idx="0">
                  <c:v>Total</c:v>
                </c:pt>
              </c:strCache>
            </c:strRef>
          </c:tx>
          <c:dPt>
            <c:idx val="0"/>
            <c:bubble3D val="0"/>
            <c:spPr>
              <a:solidFill>
                <a:srgbClr val="1D7C5B"/>
              </a:solidFill>
              <a:ln w="19050">
                <a:solidFill>
                  <a:schemeClr val="lt1"/>
                </a:solidFill>
              </a:ln>
              <a:effectLst/>
            </c:spPr>
            <c:extLst>
              <c:ext xmlns:c16="http://schemas.microsoft.com/office/drawing/2014/chart" uri="{C3380CC4-5D6E-409C-BE32-E72D297353CC}">
                <c16:uniqueId val="{00000001-FD27-4A22-A65B-E4CA5D0621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27-4A22-A65B-E4CA5D0621FB}"/>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FD27-4A22-A65B-E4CA5D0621FB}"/>
              </c:ext>
            </c:extLst>
          </c:dPt>
          <c:dLbls>
            <c:dLbl>
              <c:idx val="0"/>
              <c:layout>
                <c:manualLayout>
                  <c:x val="5.833333333333323E-2"/>
                  <c:y val="0.1388888888888889"/>
                </c:manualLayout>
              </c:layout>
              <c:tx>
                <c:rich>
                  <a:bodyPr/>
                  <a:lstStyle/>
                  <a:p>
                    <a:fld id="{AC028E98-74F6-422E-BA5A-B616681CE75B}" type="CATEGORYNAME">
                      <a:rPr lang="en-US">
                        <a:solidFill>
                          <a:srgbClr val="1D7C5B"/>
                        </a:solidFill>
                      </a:rPr>
                      <a:pPr/>
                      <a:t>[CATEGORY NAME]</a:t>
                    </a:fld>
                    <a:r>
                      <a:rPr lang="en-US" baseline="0">
                        <a:solidFill>
                          <a:srgbClr val="1D7C5B"/>
                        </a:solidFill>
                      </a:rPr>
                      <a:t>, </a:t>
                    </a:r>
                    <a:fld id="{AC5C4628-EBE2-4D71-9D0D-CB6FAB63E9E3}" type="VALUE">
                      <a:rPr lang="en-US" baseline="0">
                        <a:solidFill>
                          <a:srgbClr val="1D7C5B"/>
                        </a:solidFill>
                      </a:rPr>
                      <a:pPr/>
                      <a:t>[VALUE]</a:t>
                    </a:fld>
                    <a:r>
                      <a:rPr lang="en-US" baseline="0">
                        <a:solidFill>
                          <a:schemeClr val="bg1"/>
                        </a:solidFill>
                      </a:rPr>
                      <a:t>, </a:t>
                    </a:r>
                    <a:fld id="{2EE14DC3-0B8D-4014-A533-EBF620EADC03}" type="PERCENTAGE">
                      <a:rPr lang="en-US" baseline="0">
                        <a:solidFill>
                          <a:srgbClr val="1D7C5B"/>
                        </a:solidFill>
                      </a:rPr>
                      <a:pPr/>
                      <a:t>[PERCENTAGE]</a:t>
                    </a:fld>
                    <a:endParaRPr lang="en-US" baseline="0">
                      <a:solidFill>
                        <a:schemeClr val="bg1"/>
                      </a:solidFill>
                    </a:endParaRP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D27-4A22-A65B-E4CA5D0621FB}"/>
                </c:ext>
              </c:extLst>
            </c:dLbl>
            <c:dLbl>
              <c:idx val="1"/>
              <c:layout>
                <c:manualLayout>
                  <c:x val="-0.10277777777777779"/>
                  <c:y val="-2.7777777777777863E-2"/>
                </c:manualLayout>
              </c:layout>
              <c:tx>
                <c:rich>
                  <a:bodyPr/>
                  <a:lstStyle/>
                  <a:p>
                    <a:fld id="{1F1699B7-F769-4AED-A8A9-D725138F4D69}" type="CATEGORYNAME">
                      <a:rPr lang="en-US">
                        <a:solidFill>
                          <a:srgbClr val="1D7C5B"/>
                        </a:solidFill>
                      </a:rPr>
                      <a:pPr/>
                      <a:t>[CATEGORY NAME]</a:t>
                    </a:fld>
                    <a:r>
                      <a:rPr lang="en-US" baseline="0">
                        <a:solidFill>
                          <a:srgbClr val="1D7C5B"/>
                        </a:solidFill>
                      </a:rPr>
                      <a:t>, </a:t>
                    </a:r>
                    <a:fld id="{7F6CAF96-AE39-45D9-9B8A-F7C8249E74EB}" type="VALUE">
                      <a:rPr lang="en-US" baseline="0">
                        <a:solidFill>
                          <a:srgbClr val="1D7C5B"/>
                        </a:solidFill>
                      </a:rPr>
                      <a:pPr/>
                      <a:t>[VALUE]</a:t>
                    </a:fld>
                    <a:r>
                      <a:rPr lang="en-US" baseline="0">
                        <a:solidFill>
                          <a:srgbClr val="1D7C5B"/>
                        </a:solidFill>
                      </a:rPr>
                      <a:t>, </a:t>
                    </a:r>
                    <a:fld id="{EC29DD75-D8EC-4D92-81CD-44690056A5F0}" type="PERCENTAGE">
                      <a:rPr lang="en-US" baseline="0">
                        <a:solidFill>
                          <a:srgbClr val="1D7C5B"/>
                        </a:solidFill>
                      </a:rPr>
                      <a:pPr/>
                      <a:t>[PERCENTAGE]</a:t>
                    </a:fld>
                    <a:endParaRPr lang="en-US" baseline="0">
                      <a:solidFill>
                        <a:srgbClr val="1D7C5B"/>
                      </a:solidFill>
                    </a:endParaRP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D27-4A22-A65B-E4CA5D0621FB}"/>
                </c:ext>
              </c:extLst>
            </c:dLbl>
            <c:dLbl>
              <c:idx val="2"/>
              <c:layout>
                <c:manualLayout>
                  <c:x val="-0.15833333333333335"/>
                  <c:y val="-2.7777777777777776E-2"/>
                </c:manualLayout>
              </c:layout>
              <c:tx>
                <c:rich>
                  <a:bodyPr/>
                  <a:lstStyle/>
                  <a:p>
                    <a:fld id="{7C26B634-E86F-4468-A4F5-47878F2E1EBC}" type="CATEGORYNAME">
                      <a:rPr lang="en-US">
                        <a:solidFill>
                          <a:srgbClr val="1D7C5B"/>
                        </a:solidFill>
                      </a:rPr>
                      <a:pPr/>
                      <a:t>[CATEGORY NAME]</a:t>
                    </a:fld>
                    <a:r>
                      <a:rPr lang="en-US" baseline="0">
                        <a:solidFill>
                          <a:srgbClr val="1D7C5B"/>
                        </a:solidFill>
                      </a:rPr>
                      <a:t>, </a:t>
                    </a:r>
                    <a:fld id="{E68F26D1-8F5F-4ACB-9404-7496C6F45305}" type="VALUE">
                      <a:rPr lang="en-US" baseline="0">
                        <a:solidFill>
                          <a:srgbClr val="1D7C5B"/>
                        </a:solidFill>
                      </a:rPr>
                      <a:pPr/>
                      <a:t>[VALUE]</a:t>
                    </a:fld>
                    <a:r>
                      <a:rPr lang="en-US" baseline="0">
                        <a:solidFill>
                          <a:srgbClr val="1D7C5B"/>
                        </a:solidFill>
                      </a:rPr>
                      <a:t>, </a:t>
                    </a:r>
                    <a:fld id="{33635819-977C-48E7-B6B6-909C8E178A3A}" type="PERCENTAGE">
                      <a:rPr lang="en-US" baseline="0">
                        <a:solidFill>
                          <a:srgbClr val="1D7C5B"/>
                        </a:solidFill>
                      </a:rPr>
                      <a:pPr/>
                      <a:t>[PERCENTAGE]</a:t>
                    </a:fld>
                    <a:endParaRPr lang="en-US" baseline="0">
                      <a:solidFill>
                        <a:srgbClr val="1D7C5B"/>
                      </a:solidFill>
                    </a:endParaRP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D27-4A22-A65B-E4CA5D0621F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1D7C5B"/>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Count'!$A$2:$A$5</c:f>
              <c:strCache>
                <c:ptCount val="3"/>
                <c:pt idx="0">
                  <c:v>Female</c:v>
                </c:pt>
                <c:pt idx="1">
                  <c:v>Male</c:v>
                </c:pt>
                <c:pt idx="2">
                  <c:v>Unknown</c:v>
                </c:pt>
              </c:strCache>
            </c:strRef>
          </c:cat>
          <c:val>
            <c:numRef>
              <c:f>'Gender Count'!$B$2:$B$5</c:f>
              <c:numCache>
                <c:formatCode>General</c:formatCode>
                <c:ptCount val="3"/>
                <c:pt idx="0">
                  <c:v>91</c:v>
                </c:pt>
                <c:pt idx="1">
                  <c:v>91</c:v>
                </c:pt>
                <c:pt idx="2">
                  <c:v>8</c:v>
                </c:pt>
              </c:numCache>
            </c:numRef>
          </c:val>
          <c:extLst>
            <c:ext xmlns:c16="http://schemas.microsoft.com/office/drawing/2014/chart" uri="{C3380CC4-5D6E-409C-BE32-E72D297353CC}">
              <c16:uniqueId val="{00000006-86EE-4986-AC01-B1ECBB81455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[Novalife_Report.xlsx]Payment Status by Payment Metho!PivotTable25</c:name>
    <c:fmtId val="2"/>
  </c:pivotSource>
  <c:chart>
    <c:title>
      <c:tx>
        <c:rich>
          <a:bodyPr rot="0" spcFirstLastPara="1" vertOverflow="ellipsis" vert="horz" wrap="square" anchor="ctr" anchorCtr="1"/>
          <a:lstStyle/>
          <a:p>
            <a:pPr>
              <a:defRPr sz="1400" b="0" i="0" u="none" strike="noStrike" kern="1200" spc="0" baseline="0">
                <a:solidFill>
                  <a:srgbClr val="1D7C5B"/>
                </a:solidFill>
                <a:latin typeface="+mn-lt"/>
                <a:ea typeface="+mn-ea"/>
                <a:cs typeface="+mn-cs"/>
              </a:defRPr>
            </a:pPr>
            <a:r>
              <a:rPr lang="en-US">
                <a:solidFill>
                  <a:srgbClr val="1D7C5B"/>
                </a:solidFill>
              </a:rPr>
              <a:t>Payment</a:t>
            </a:r>
            <a:r>
              <a:rPr lang="en-US" baseline="0">
                <a:solidFill>
                  <a:srgbClr val="1D7C5B"/>
                </a:solidFill>
              </a:rPr>
              <a:t> Method by Payment Status</a:t>
            </a:r>
            <a:endParaRPr lang="en-US">
              <a:solidFill>
                <a:srgbClr val="1D7C5B"/>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D7C5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'Payment Status by Payment Metho'!$B$4:$B$5</c:f>
              <c:strCache>
                <c:ptCount val="1"/>
                <c:pt idx="0">
                  <c:v>Paid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Status by Payment Metho'!$A$6:$A$11</c:f>
              <c:strCache>
                <c:ptCount val="5"/>
                <c:pt idx="0">
                  <c:v>Cash</c:v>
                </c:pt>
                <c:pt idx="1">
                  <c:v>HMO</c:v>
                </c:pt>
                <c:pt idx="2">
                  <c:v>POS</c:v>
                </c:pt>
                <c:pt idx="3">
                  <c:v>NHIS</c:v>
                </c:pt>
                <c:pt idx="4">
                  <c:v>Bank Transfer</c:v>
                </c:pt>
              </c:strCache>
            </c:strRef>
          </c:cat>
          <c:val>
            <c:numRef>
              <c:f>'Payment Status by Payment Metho'!$B$6:$B$11</c:f>
              <c:numCache>
                <c:formatCode>General</c:formatCode>
                <c:ptCount val="5"/>
                <c:pt idx="0">
                  <c:v>19</c:v>
                </c:pt>
                <c:pt idx="1">
                  <c:v>20</c:v>
                </c:pt>
                <c:pt idx="2">
                  <c:v>15</c:v>
                </c:pt>
                <c:pt idx="3">
                  <c:v>9</c:v>
                </c:pt>
                <c:pt idx="4">
                  <c:v>8</c:v>
                </c:pt>
              </c:numCache>
            </c:numRef>
          </c:val>
          <c:extLst>
            <c:ext xmlns:c16="http://schemas.microsoft.com/office/drawing/2014/chart" uri="{C3380CC4-5D6E-409C-BE32-E72D297353CC}">
              <c16:uniqueId val="{00000000-03DE-4AEC-817A-79B4E3E35CAE}"/>
            </c:ext>
          </c:extLst>
        </c:ser>
        <c:ser>
          <c:idx val="1"/>
          <c:order val="1"/>
          <c:tx>
            <c:strRef>
              <c:f>'Payment Status by Payment Metho'!$C$4:$C$5</c:f>
              <c:strCache>
                <c:ptCount val="1"/>
                <c:pt idx="0">
                  <c:v>Pending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Status by Payment Metho'!$A$6:$A$11</c:f>
              <c:strCache>
                <c:ptCount val="5"/>
                <c:pt idx="0">
                  <c:v>Cash</c:v>
                </c:pt>
                <c:pt idx="1">
                  <c:v>HMO</c:v>
                </c:pt>
                <c:pt idx="2">
                  <c:v>POS</c:v>
                </c:pt>
                <c:pt idx="3">
                  <c:v>NHIS</c:v>
                </c:pt>
                <c:pt idx="4">
                  <c:v>Bank Transfer</c:v>
                </c:pt>
              </c:strCache>
            </c:strRef>
          </c:cat>
          <c:val>
            <c:numRef>
              <c:f>'Payment Status by Payment Metho'!$C$6:$C$11</c:f>
              <c:numCache>
                <c:formatCode>General</c:formatCode>
                <c:ptCount val="5"/>
                <c:pt idx="0">
                  <c:v>9</c:v>
                </c:pt>
                <c:pt idx="1">
                  <c:v>11</c:v>
                </c:pt>
                <c:pt idx="2">
                  <c:v>10</c:v>
                </c:pt>
                <c:pt idx="3">
                  <c:v>18</c:v>
                </c:pt>
                <c:pt idx="4">
                  <c:v>3</c:v>
                </c:pt>
              </c:numCache>
            </c:numRef>
          </c:val>
          <c:extLst>
            <c:ext xmlns:c16="http://schemas.microsoft.com/office/drawing/2014/chart" uri="{C3380CC4-5D6E-409C-BE32-E72D297353CC}">
              <c16:uniqueId val="{00000001-03DE-4AEC-817A-79B4E3E35CAE}"/>
            </c:ext>
          </c:extLst>
        </c:ser>
        <c:ser>
          <c:idx val="2"/>
          <c:order val="2"/>
          <c:tx>
            <c:strRef>
              <c:f>'Payment Status by Payment Metho'!$D$4:$D$5</c:f>
              <c:strCache>
                <c:ptCount val="1"/>
                <c:pt idx="0">
                  <c:v>Unpaid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Status by Payment Metho'!$A$6:$A$11</c:f>
              <c:strCache>
                <c:ptCount val="5"/>
                <c:pt idx="0">
                  <c:v>Cash</c:v>
                </c:pt>
                <c:pt idx="1">
                  <c:v>HMO</c:v>
                </c:pt>
                <c:pt idx="2">
                  <c:v>POS</c:v>
                </c:pt>
                <c:pt idx="3">
                  <c:v>NHIS</c:v>
                </c:pt>
                <c:pt idx="4">
                  <c:v>Bank Transfer</c:v>
                </c:pt>
              </c:strCache>
            </c:strRef>
          </c:cat>
          <c:val>
            <c:numRef>
              <c:f>'Payment Status by Payment Metho'!$D$6:$D$11</c:f>
              <c:numCache>
                <c:formatCode>General</c:formatCode>
                <c:ptCount val="5"/>
                <c:pt idx="0">
                  <c:v>14</c:v>
                </c:pt>
                <c:pt idx="1">
                  <c:v>10</c:v>
                </c:pt>
                <c:pt idx="2">
                  <c:v>11</c:v>
                </c:pt>
                <c:pt idx="3">
                  <c:v>10</c:v>
                </c:pt>
                <c:pt idx="4">
                  <c:v>18</c:v>
                </c:pt>
              </c:numCache>
            </c:numRef>
          </c:val>
          <c:extLst>
            <c:ext xmlns:c16="http://schemas.microsoft.com/office/drawing/2014/chart" uri="{C3380CC4-5D6E-409C-BE32-E72D297353CC}">
              <c16:uniqueId val="{00000002-03DE-4AEC-817A-79B4E3E35CAE}"/>
            </c:ext>
          </c:extLst>
        </c:ser>
        <c:ser>
          <c:idx val="3"/>
          <c:order val="3"/>
          <c:tx>
            <c:strRef>
              <c:f>'Payment Status by Payment Metho'!$E$4:$E$5</c:f>
              <c:strCache>
                <c:ptCount val="1"/>
                <c:pt idx="0">
                  <c:v>Waived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Status by Payment Metho'!$A$6:$A$11</c:f>
              <c:strCache>
                <c:ptCount val="5"/>
                <c:pt idx="0">
                  <c:v>Cash</c:v>
                </c:pt>
                <c:pt idx="1">
                  <c:v>HMO</c:v>
                </c:pt>
                <c:pt idx="2">
                  <c:v>POS</c:v>
                </c:pt>
                <c:pt idx="3">
                  <c:v>NHIS</c:v>
                </c:pt>
                <c:pt idx="4">
                  <c:v>Bank Transfer</c:v>
                </c:pt>
              </c:strCache>
            </c:strRef>
          </c:cat>
          <c:val>
            <c:numRef>
              <c:f>'Payment Status by Payment Metho'!$E$6:$E$11</c:f>
              <c:numCache>
                <c:formatCode>General</c:formatCode>
                <c:ptCount val="5"/>
                <c:pt idx="0">
                  <c:v>2</c:v>
                </c:pt>
                <c:pt idx="2">
                  <c:v>2</c:v>
                </c:pt>
                <c:pt idx="3">
                  <c:v>1</c:v>
                </c:pt>
              </c:numCache>
            </c:numRef>
          </c:val>
          <c:extLst>
            <c:ext xmlns:c16="http://schemas.microsoft.com/office/drawing/2014/chart" uri="{C3380CC4-5D6E-409C-BE32-E72D297353CC}">
              <c16:uniqueId val="{00000006-03DE-4AEC-817A-79B4E3E35CAE}"/>
            </c:ext>
          </c:extLst>
        </c:ser>
        <c:dLbls>
          <c:dLblPos val="ctr"/>
          <c:showLegendKey val="0"/>
          <c:showVal val="1"/>
          <c:showCatName val="0"/>
          <c:showSerName val="0"/>
          <c:showPercent val="0"/>
          <c:showBubbleSize val="0"/>
        </c:dLbls>
        <c:gapWidth val="150"/>
        <c:overlap val="100"/>
        <c:axId val="1044166784"/>
        <c:axId val="1044177824"/>
      </c:barChart>
      <c:catAx>
        <c:axId val="1044166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D7C5B"/>
                </a:solidFill>
                <a:latin typeface="+mn-lt"/>
                <a:ea typeface="+mn-ea"/>
                <a:cs typeface="+mn-cs"/>
              </a:defRPr>
            </a:pPr>
            <a:endParaRPr lang="en-US"/>
          </a:p>
        </c:txPr>
        <c:crossAx val="1044177824"/>
        <c:crosses val="autoZero"/>
        <c:auto val="1"/>
        <c:lblAlgn val="ctr"/>
        <c:lblOffset val="100"/>
        <c:noMultiLvlLbl val="0"/>
      </c:catAx>
      <c:valAx>
        <c:axId val="1044177824"/>
        <c:scaling>
          <c:orientation val="minMax"/>
        </c:scaling>
        <c:delete val="1"/>
        <c:axPos val="b"/>
        <c:numFmt formatCode="General" sourceLinked="1"/>
        <c:majorTickMark val="none"/>
        <c:minorTickMark val="none"/>
        <c:tickLblPos val="nextTo"/>
        <c:crossAx val="104416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1D7C5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[Novalife_Report.xlsx]Monthly Revenue!PivotTable20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1D7C5B"/>
                </a:solidFill>
              </a:rPr>
              <a:t>Monthly</a:t>
            </a:r>
            <a:r>
              <a:rPr lang="en-US" baseline="0">
                <a:solidFill>
                  <a:srgbClr val="1D7C5B"/>
                </a:solidFill>
              </a:rPr>
              <a:t> Revenue</a:t>
            </a:r>
            <a:endParaRPr lang="en-US">
              <a:solidFill>
                <a:srgbClr val="1D7C5B"/>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rgbClr val="1D7C5B"/>
            </a:solidFill>
            <a:ln w="9525">
              <a:solidFill>
                <a:schemeClr val="accent1"/>
              </a:solidFill>
            </a:ln>
            <a:effectLst/>
          </c:spPr>
        </c:marker>
      </c:pivotFmt>
      <c:pivotFmt>
        <c:idx val="5"/>
        <c:spPr>
          <a:ln w="28575" cap="rnd">
            <a:solidFill>
              <a:schemeClr val="accent1"/>
            </a:solidFill>
            <a:round/>
          </a:ln>
          <a:effectLst/>
        </c:spPr>
        <c:marker>
          <c:symbol val="circle"/>
          <c:size val="5"/>
          <c:spPr>
            <a:solidFill>
              <a:srgbClr val="1D7C5B"/>
            </a:solidFill>
            <a:ln w="9525">
              <a:solidFill>
                <a:schemeClr val="accent1"/>
              </a:solidFill>
            </a:ln>
            <a:effectLst/>
          </c:spPr>
        </c:marker>
      </c:pivotFmt>
    </c:pivotFmts>
    <c:plotArea>
      <c:layout/>
      <c:lineChart>
        <c:grouping val="standard"/>
        <c:varyColors val="0"/>
        <c:ser>
          <c:idx val="0"/>
          <c:order val="0"/>
          <c:tx>
            <c:strRef>
              <c:f>'Monthly Revenue'!$B$1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1"/>
            <c:marker>
              <c:symbol val="circle"/>
              <c:size val="5"/>
              <c:spPr>
                <a:solidFill>
                  <a:srgbClr val="1D7C5B"/>
                </a:solidFill>
                <a:ln w="9525">
                  <a:solidFill>
                    <a:schemeClr val="accent1"/>
                  </a:solidFill>
                </a:ln>
                <a:effectLst/>
              </c:spPr>
            </c:marker>
            <c:bubble3D val="0"/>
            <c:extLst>
              <c:ext xmlns:c16="http://schemas.microsoft.com/office/drawing/2014/chart" uri="{C3380CC4-5D6E-409C-BE32-E72D297353CC}">
                <c16:uniqueId val="{00000005-4D30-4164-90B2-4EB4DBECE38A}"/>
              </c:ext>
            </c:extLst>
          </c:dPt>
          <c:cat>
            <c:strRef>
              <c:f>'Monthly Revenue'!$A$2:$A$14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Revenue'!$B$2:$B$14</c:f>
              <c:numCache>
                <c:formatCode>_-* #,##0.00\ [$₦-467]_-;\-* #,##0.00\ [$₦-467]_-;_-* "-"??\ [$₦-467]_-;_-@_-</c:formatCode>
                <c:ptCount val="12"/>
                <c:pt idx="0">
                  <c:v>1197230</c:v>
                </c:pt>
                <c:pt idx="1">
                  <c:v>744509</c:v>
                </c:pt>
                <c:pt idx="2">
                  <c:v>607910</c:v>
                </c:pt>
                <c:pt idx="3">
                  <c:v>768246</c:v>
                </c:pt>
                <c:pt idx="4">
                  <c:v>761533</c:v>
                </c:pt>
                <c:pt idx="5">
                  <c:v>732212</c:v>
                </c:pt>
                <c:pt idx="6">
                  <c:v>1120303</c:v>
                </c:pt>
                <c:pt idx="7">
                  <c:v>973969</c:v>
                </c:pt>
                <c:pt idx="8">
                  <c:v>792751</c:v>
                </c:pt>
                <c:pt idx="9">
                  <c:v>515372</c:v>
                </c:pt>
                <c:pt idx="10">
                  <c:v>799017</c:v>
                </c:pt>
                <c:pt idx="11">
                  <c:v>1230181</c:v>
                </c:pt>
              </c:numCache>
            </c:numRef>
          </c:val>
          <c:smooth val="0"/>
          <c:extLst>
            <c:ext xmlns:c16="http://schemas.microsoft.com/office/drawing/2014/chart" uri="{C3380CC4-5D6E-409C-BE32-E72D297353CC}">
              <c16:uniqueId val="{00000003-4D30-4164-90B2-4EB4DBECE38A}"/>
            </c:ext>
          </c:extLst>
        </c:ser>
        <c:dLbls>
          <c:showLegendKey val="0"/>
          <c:showVal val="0"/>
          <c:showCatName val="0"/>
          <c:showSerName val="0"/>
          <c:showPercent val="0"/>
          <c:showBubbleSize val="0"/>
        </c:dLbls>
        <c:marker val="1"/>
        <c:smooth val="0"/>
        <c:axId val="546525168"/>
        <c:axId val="546533328"/>
      </c:lineChart>
      <c:catAx>
        <c:axId val="54652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D7C5B"/>
                </a:solidFill>
                <a:latin typeface="+mn-lt"/>
                <a:ea typeface="+mn-ea"/>
                <a:cs typeface="+mn-cs"/>
              </a:defRPr>
            </a:pPr>
            <a:endParaRPr lang="en-US"/>
          </a:p>
        </c:txPr>
        <c:crossAx val="546533328"/>
        <c:crosses val="autoZero"/>
        <c:auto val="1"/>
        <c:lblAlgn val="ctr"/>
        <c:lblOffset val="100"/>
        <c:noMultiLvlLbl val="0"/>
      </c:catAx>
      <c:valAx>
        <c:axId val="546533328"/>
        <c:scaling>
          <c:orientation val="minMax"/>
        </c:scaling>
        <c:delete val="0"/>
        <c:axPos val="l"/>
        <c:numFmt formatCode="_-* #,##0.00\ [$₦-467]_-;\-* #,##0.00\ [$₦-467]_-;_-* &quot;-&quot;??\ [$₦-467]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D7C5B"/>
                </a:solidFill>
                <a:latin typeface="+mn-lt"/>
                <a:ea typeface="+mn-ea"/>
                <a:cs typeface="+mn-cs"/>
              </a:defRPr>
            </a:pPr>
            <a:endParaRPr lang="en-US"/>
          </a:p>
        </c:txPr>
        <c:crossAx val="546525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[Novalife_Report.xlsx]Top 5 Diagnoses!PivotTable16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1D7C5B"/>
                </a:solidFill>
              </a:rPr>
              <a:t>Top</a:t>
            </a:r>
            <a:r>
              <a:rPr lang="en-US" baseline="0">
                <a:solidFill>
                  <a:srgbClr val="1D7C5B"/>
                </a:solidFill>
              </a:rPr>
              <a:t> 5 Diagnoses</a:t>
            </a:r>
            <a:endParaRPr lang="en-US">
              <a:solidFill>
                <a:srgbClr val="1D7C5B"/>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D7C5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D7C5B"/>
          </a:solidFill>
          <a:ln>
            <a:noFill/>
          </a:ln>
          <a:effectLst/>
        </c:spPr>
      </c:pivotFmt>
      <c:pivotFmt>
        <c:idx val="4"/>
        <c:spPr>
          <a:solidFill>
            <a:srgbClr val="1D7C5B"/>
          </a:solidFill>
          <a:ln>
            <a:noFill/>
          </a:ln>
          <a:effectLst/>
        </c:spPr>
      </c:pivotFmt>
    </c:pivotFmts>
    <c:plotArea>
      <c:layout/>
      <c:barChart>
        <c:barDir val="bar"/>
        <c:grouping val="clustered"/>
        <c:varyColors val="0"/>
        <c:ser>
          <c:idx val="0"/>
          <c:order val="0"/>
          <c:tx>
            <c:strRef>
              <c:f>'Top 5 Diagnoses'!$B$1</c:f>
              <c:strCache>
                <c:ptCount val="1"/>
                <c:pt idx="0">
                  <c:v>Total</c:v>
                </c:pt>
              </c:strCache>
            </c:strRef>
          </c:tx>
          <c:spPr>
            <a:solidFill>
              <a:schemeClr val="accent1"/>
            </a:solidFill>
            <a:ln>
              <a:noFill/>
            </a:ln>
            <a:effectLst/>
          </c:spPr>
          <c:invertIfNegative val="0"/>
          <c:dPt>
            <c:idx val="0"/>
            <c:invertIfNegative val="0"/>
            <c:bubble3D val="0"/>
            <c:spPr>
              <a:solidFill>
                <a:srgbClr val="1D7C5B"/>
              </a:solidFill>
              <a:ln>
                <a:noFill/>
              </a:ln>
              <a:effectLst/>
            </c:spPr>
            <c:extLst>
              <c:ext xmlns:c16="http://schemas.microsoft.com/office/drawing/2014/chart" uri="{C3380CC4-5D6E-409C-BE32-E72D297353CC}">
                <c16:uniqueId val="{00000001-454E-4842-A79B-2D659192BC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D7C5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Diagnoses'!$A$2:$A$7</c:f>
              <c:strCache>
                <c:ptCount val="5"/>
                <c:pt idx="0">
                  <c:v>Malaria</c:v>
                </c:pt>
                <c:pt idx="1">
                  <c:v>Upper Respiratory Infection</c:v>
                </c:pt>
                <c:pt idx="2">
                  <c:v>Anaemia</c:v>
                </c:pt>
                <c:pt idx="3">
                  <c:v>Dental Caries</c:v>
                </c:pt>
                <c:pt idx="4">
                  <c:v>Hypertension</c:v>
                </c:pt>
              </c:strCache>
            </c:strRef>
          </c:cat>
          <c:val>
            <c:numRef>
              <c:f>'Top 5 Diagnoses'!$B$2:$B$7</c:f>
              <c:numCache>
                <c:formatCode>General</c:formatCode>
                <c:ptCount val="5"/>
                <c:pt idx="0">
                  <c:v>31</c:v>
                </c:pt>
                <c:pt idx="1">
                  <c:v>27</c:v>
                </c:pt>
                <c:pt idx="2">
                  <c:v>24</c:v>
                </c:pt>
                <c:pt idx="3">
                  <c:v>19</c:v>
                </c:pt>
                <c:pt idx="4">
                  <c:v>19</c:v>
                </c:pt>
              </c:numCache>
            </c:numRef>
          </c:val>
          <c:extLst>
            <c:ext xmlns:c16="http://schemas.microsoft.com/office/drawing/2014/chart" uri="{C3380CC4-5D6E-409C-BE32-E72D297353CC}">
              <c16:uniqueId val="{00000002-5D43-4A68-93EF-3DC447B476A2}"/>
            </c:ext>
          </c:extLst>
        </c:ser>
        <c:dLbls>
          <c:dLblPos val="outEnd"/>
          <c:showLegendKey val="0"/>
          <c:showVal val="1"/>
          <c:showCatName val="0"/>
          <c:showSerName val="0"/>
          <c:showPercent val="0"/>
          <c:showBubbleSize val="0"/>
        </c:dLbls>
        <c:gapWidth val="182"/>
        <c:axId val="528695344"/>
        <c:axId val="528682864"/>
      </c:barChart>
      <c:catAx>
        <c:axId val="528695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D7C5B"/>
                </a:solidFill>
                <a:latin typeface="+mn-lt"/>
                <a:ea typeface="+mn-ea"/>
                <a:cs typeface="+mn-cs"/>
              </a:defRPr>
            </a:pPr>
            <a:endParaRPr lang="en-US"/>
          </a:p>
        </c:txPr>
        <c:crossAx val="528682864"/>
        <c:crosses val="autoZero"/>
        <c:auto val="1"/>
        <c:lblAlgn val="ctr"/>
        <c:lblOffset val="100"/>
        <c:noMultiLvlLbl val="0"/>
      </c:catAx>
      <c:valAx>
        <c:axId val="528682864"/>
        <c:scaling>
          <c:orientation val="minMax"/>
        </c:scaling>
        <c:delete val="1"/>
        <c:axPos val="b"/>
        <c:numFmt formatCode="General" sourceLinked="1"/>
        <c:majorTickMark val="none"/>
        <c:minorTickMark val="none"/>
        <c:tickLblPos val="nextTo"/>
        <c:crossAx val="52869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Avg. Bill by Payment Methods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Avg. Bill by Payment Methods</a:t>
          </a:r>
        </a:p>
      </cx:txPr>
    </cx:title>
    <cx:plotArea>
      <cx:plotAreaRegion>
        <cx:series layoutId="funnel" uniqueId="{0D990BDA-F6BD-42DA-B436-3656234BC525}">
          <cx:tx>
            <cx:txData>
              <cx:f>_xlchart.v2.1</cx:f>
              <cx:v>Average of Bill_Amount_NGN</cx:v>
            </cx:txData>
          </cx:tx>
          <cx:dataLabels pos="inEnd">
            <cx:visibility seriesName="0" categoryName="0" value="1"/>
            <cx:separator>, </cx:separator>
          </cx:dataLabels>
          <cx:dataId val="0"/>
          <cx:layoutPr>
            <cx:parentLabelLayout val="overlapping"/>
          </cx:layoutPr>
        </cx:series>
      </cx:plotAreaRegion>
      <cx:axis id="0">
        <cx:cat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image" Target="../media/image1.png"/><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6</xdr:col>
      <xdr:colOff>381000</xdr:colOff>
      <xdr:row>4</xdr:row>
      <xdr:rowOff>109537</xdr:rowOff>
    </xdr:from>
    <xdr:to>
      <xdr:col>14</xdr:col>
      <xdr:colOff>76200</xdr:colOff>
      <xdr:row>18</xdr:row>
      <xdr:rowOff>185737</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4E745474-E2D0-25C5-45E3-38DAE04EEC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019925" y="8715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485775</xdr:colOff>
      <xdr:row>0</xdr:row>
      <xdr:rowOff>0</xdr:rowOff>
    </xdr:from>
    <xdr:to>
      <xdr:col>10</xdr:col>
      <xdr:colOff>180975</xdr:colOff>
      <xdr:row>14</xdr:row>
      <xdr:rowOff>76200</xdr:rowOff>
    </xdr:to>
    <xdr:graphicFrame macro="">
      <xdr:nvGraphicFramePr>
        <xdr:cNvPr id="3" name="Chart 2">
          <a:extLst>
            <a:ext uri="{FF2B5EF4-FFF2-40B4-BE49-F238E27FC236}">
              <a16:creationId xmlns:a16="http://schemas.microsoft.com/office/drawing/2014/main" id="{F93B25A2-1EC9-DC6A-2709-C9F88E9290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238125</xdr:colOff>
      <xdr:row>0</xdr:row>
      <xdr:rowOff>157162</xdr:rowOff>
    </xdr:from>
    <xdr:to>
      <xdr:col>9</xdr:col>
      <xdr:colOff>542925</xdr:colOff>
      <xdr:row>15</xdr:row>
      <xdr:rowOff>42862</xdr:rowOff>
    </xdr:to>
    <xdr:graphicFrame macro="">
      <xdr:nvGraphicFramePr>
        <xdr:cNvPr id="3" name="Chart 2">
          <a:extLst>
            <a:ext uri="{FF2B5EF4-FFF2-40B4-BE49-F238E27FC236}">
              <a16:creationId xmlns:a16="http://schemas.microsoft.com/office/drawing/2014/main" id="{D32DA6CB-0855-327B-90BA-00175B7FF2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457200</xdr:colOff>
      <xdr:row>0</xdr:row>
      <xdr:rowOff>23812</xdr:rowOff>
    </xdr:from>
    <xdr:to>
      <xdr:col>10</xdr:col>
      <xdr:colOff>152400</xdr:colOff>
      <xdr:row>14</xdr:row>
      <xdr:rowOff>100012</xdr:rowOff>
    </xdr:to>
    <xdr:graphicFrame macro="">
      <xdr:nvGraphicFramePr>
        <xdr:cNvPr id="3" name="Chart 2">
          <a:extLst>
            <a:ext uri="{FF2B5EF4-FFF2-40B4-BE49-F238E27FC236}">
              <a16:creationId xmlns:a16="http://schemas.microsoft.com/office/drawing/2014/main" id="{E9148B1E-99F8-3475-FE83-14B75197EF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104775</xdr:colOff>
      <xdr:row>0</xdr:row>
      <xdr:rowOff>80962</xdr:rowOff>
    </xdr:from>
    <xdr:to>
      <xdr:col>10</xdr:col>
      <xdr:colOff>409575</xdr:colOff>
      <xdr:row>14</xdr:row>
      <xdr:rowOff>157162</xdr:rowOff>
    </xdr:to>
    <xdr:graphicFrame macro="">
      <xdr:nvGraphicFramePr>
        <xdr:cNvPr id="2" name="Chart 1">
          <a:extLst>
            <a:ext uri="{FF2B5EF4-FFF2-40B4-BE49-F238E27FC236}">
              <a16:creationId xmlns:a16="http://schemas.microsoft.com/office/drawing/2014/main" id="{BD1756A0-F200-216D-7E9A-6F6DB31A8F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114300</xdr:colOff>
      <xdr:row>0</xdr:row>
      <xdr:rowOff>0</xdr:rowOff>
    </xdr:from>
    <xdr:to>
      <xdr:col>12</xdr:col>
      <xdr:colOff>180975</xdr:colOff>
      <xdr:row>14</xdr:row>
      <xdr:rowOff>76200</xdr:rowOff>
    </xdr:to>
    <xdr:graphicFrame macro="">
      <xdr:nvGraphicFramePr>
        <xdr:cNvPr id="2" name="Chart 1">
          <a:extLst>
            <a:ext uri="{FF2B5EF4-FFF2-40B4-BE49-F238E27FC236}">
              <a16:creationId xmlns:a16="http://schemas.microsoft.com/office/drawing/2014/main" id="{E9958459-40E0-1A0B-2D23-376621B1A5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95250</xdr:colOff>
      <xdr:row>3</xdr:row>
      <xdr:rowOff>142874</xdr:rowOff>
    </xdr:from>
    <xdr:to>
      <xdr:col>7</xdr:col>
      <xdr:colOff>561975</xdr:colOff>
      <xdr:row>18</xdr:row>
      <xdr:rowOff>76199</xdr:rowOff>
    </xdr:to>
    <mc:AlternateContent xmlns:mc="http://schemas.openxmlformats.org/markup-compatibility/2006" xmlns:a14="http://schemas.microsoft.com/office/drawing/2010/main">
      <mc:Choice Requires="a14">
        <xdr:graphicFrame macro="">
          <xdr:nvGraphicFramePr>
            <xdr:cNvPr id="8" name="Month 1">
              <a:extLst>
                <a:ext uri="{FF2B5EF4-FFF2-40B4-BE49-F238E27FC236}">
                  <a16:creationId xmlns:a16="http://schemas.microsoft.com/office/drawing/2014/main" id="{FAFFDF07-21B6-0BE2-209F-CCA09628E606}"/>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4191000" y="714374"/>
              <a:ext cx="1828800" cy="2790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638175</xdr:colOff>
      <xdr:row>0</xdr:row>
      <xdr:rowOff>23812</xdr:rowOff>
    </xdr:from>
    <xdr:to>
      <xdr:col>10</xdr:col>
      <xdr:colOff>219075</xdr:colOff>
      <xdr:row>14</xdr:row>
      <xdr:rowOff>100012</xdr:rowOff>
    </xdr:to>
    <xdr:graphicFrame macro="">
      <xdr:nvGraphicFramePr>
        <xdr:cNvPr id="3" name="Chart 2">
          <a:extLst>
            <a:ext uri="{FF2B5EF4-FFF2-40B4-BE49-F238E27FC236}">
              <a16:creationId xmlns:a16="http://schemas.microsoft.com/office/drawing/2014/main" id="{7CDF7FB1-FDF8-CADB-63BC-CC2A4D452D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523875</xdr:colOff>
      <xdr:row>0</xdr:row>
      <xdr:rowOff>0</xdr:rowOff>
    </xdr:from>
    <xdr:to>
      <xdr:col>10</xdr:col>
      <xdr:colOff>219075</xdr:colOff>
      <xdr:row>14</xdr:row>
      <xdr:rowOff>76200</xdr:rowOff>
    </xdr:to>
    <xdr:graphicFrame macro="">
      <xdr:nvGraphicFramePr>
        <xdr:cNvPr id="3" name="Chart 2">
          <a:extLst>
            <a:ext uri="{FF2B5EF4-FFF2-40B4-BE49-F238E27FC236}">
              <a16:creationId xmlns:a16="http://schemas.microsoft.com/office/drawing/2014/main" id="{E05D01B9-67BA-6179-860A-FA4A443D60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361950</xdr:colOff>
      <xdr:row>0</xdr:row>
      <xdr:rowOff>0</xdr:rowOff>
    </xdr:from>
    <xdr:to>
      <xdr:col>9</xdr:col>
      <xdr:colOff>390525</xdr:colOff>
      <xdr:row>14</xdr:row>
      <xdr:rowOff>76200</xdr:rowOff>
    </xdr:to>
    <xdr:graphicFrame macro="">
      <xdr:nvGraphicFramePr>
        <xdr:cNvPr id="4" name="Chart 3">
          <a:extLst>
            <a:ext uri="{FF2B5EF4-FFF2-40B4-BE49-F238E27FC236}">
              <a16:creationId xmlns:a16="http://schemas.microsoft.com/office/drawing/2014/main" id="{F646EE19-3456-C74A-DEDE-7F13341950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381000</xdr:colOff>
      <xdr:row>0</xdr:row>
      <xdr:rowOff>4762</xdr:rowOff>
    </xdr:from>
    <xdr:to>
      <xdr:col>10</xdr:col>
      <xdr:colOff>76200</xdr:colOff>
      <xdr:row>14</xdr:row>
      <xdr:rowOff>80962</xdr:rowOff>
    </xdr:to>
    <xdr:graphicFrame macro="">
      <xdr:nvGraphicFramePr>
        <xdr:cNvPr id="3" name="Chart 2">
          <a:extLst>
            <a:ext uri="{FF2B5EF4-FFF2-40B4-BE49-F238E27FC236}">
              <a16:creationId xmlns:a16="http://schemas.microsoft.com/office/drawing/2014/main" id="{0A40AE7A-D59F-CDC1-9891-07850AA9F6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476250</xdr:colOff>
      <xdr:row>0</xdr:row>
      <xdr:rowOff>0</xdr:rowOff>
    </xdr:from>
    <xdr:to>
      <xdr:col>14</xdr:col>
      <xdr:colOff>171450</xdr:colOff>
      <xdr:row>14</xdr:row>
      <xdr:rowOff>76200</xdr:rowOff>
    </xdr:to>
    <xdr:graphicFrame macro="">
      <xdr:nvGraphicFramePr>
        <xdr:cNvPr id="3" name="Chart 2">
          <a:extLst>
            <a:ext uri="{FF2B5EF4-FFF2-40B4-BE49-F238E27FC236}">
              <a16:creationId xmlns:a16="http://schemas.microsoft.com/office/drawing/2014/main" id="{851F66F3-AAC4-30B5-F146-5AA613021E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971550</xdr:colOff>
      <xdr:row>1</xdr:row>
      <xdr:rowOff>71437</xdr:rowOff>
    </xdr:from>
    <xdr:to>
      <xdr:col>6</xdr:col>
      <xdr:colOff>1047750</xdr:colOff>
      <xdr:row>15</xdr:row>
      <xdr:rowOff>147637</xdr:rowOff>
    </xdr:to>
    <xdr:graphicFrame macro="">
      <xdr:nvGraphicFramePr>
        <xdr:cNvPr id="3" name="Chart 2">
          <a:extLst>
            <a:ext uri="{FF2B5EF4-FFF2-40B4-BE49-F238E27FC236}">
              <a16:creationId xmlns:a16="http://schemas.microsoft.com/office/drawing/2014/main" id="{C1A9D769-9FDE-448E-93DD-F1EE0C91F7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114300</xdr:colOff>
      <xdr:row>4</xdr:row>
      <xdr:rowOff>95250</xdr:rowOff>
    </xdr:from>
    <xdr:to>
      <xdr:col>8</xdr:col>
      <xdr:colOff>819150</xdr:colOff>
      <xdr:row>18</xdr:row>
      <xdr:rowOff>95250</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69166FD4-C6F4-2AC7-BF66-B778BF5ADB4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943850" y="8572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962025</xdr:colOff>
      <xdr:row>3</xdr:row>
      <xdr:rowOff>28575</xdr:rowOff>
    </xdr:from>
    <xdr:to>
      <xdr:col>10</xdr:col>
      <xdr:colOff>542925</xdr:colOff>
      <xdr:row>17</xdr:row>
      <xdr:rowOff>28575</xdr:rowOff>
    </xdr:to>
    <mc:AlternateContent xmlns:mc="http://schemas.openxmlformats.org/markup-compatibility/2006" xmlns:a14="http://schemas.microsoft.com/office/drawing/2010/main">
      <mc:Choice Requires="a14">
        <xdr:graphicFrame macro="">
          <xdr:nvGraphicFramePr>
            <xdr:cNvPr id="6" name="State">
              <a:extLst>
                <a:ext uri="{FF2B5EF4-FFF2-40B4-BE49-F238E27FC236}">
                  <a16:creationId xmlns:a16="http://schemas.microsoft.com/office/drawing/2014/main" id="{245D9AA3-EB06-1A81-023A-103552EB5AF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915525" y="6000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542925</xdr:colOff>
      <xdr:row>12</xdr:row>
      <xdr:rowOff>142875</xdr:rowOff>
    </xdr:from>
    <xdr:to>
      <xdr:col>5</xdr:col>
      <xdr:colOff>123825</xdr:colOff>
      <xdr:row>26</xdr:row>
      <xdr:rowOff>142875</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7E55046B-8A2F-405E-B096-809ACB58E1F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819525" y="24288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1</xdr:rowOff>
    </xdr:from>
    <xdr:to>
      <xdr:col>28</xdr:col>
      <xdr:colOff>330458</xdr:colOff>
      <xdr:row>37</xdr:row>
      <xdr:rowOff>60159</xdr:rowOff>
    </xdr:to>
    <xdr:sp macro="" textlink="">
      <xdr:nvSpPr>
        <xdr:cNvPr id="44" name="Rectangle 43">
          <a:extLst>
            <a:ext uri="{FF2B5EF4-FFF2-40B4-BE49-F238E27FC236}">
              <a16:creationId xmlns:a16="http://schemas.microsoft.com/office/drawing/2014/main" id="{364BBA2E-FBE6-49FE-501F-9D8365C16812}"/>
            </a:ext>
          </a:extLst>
        </xdr:cNvPr>
        <xdr:cNvSpPr/>
      </xdr:nvSpPr>
      <xdr:spPr>
        <a:xfrm>
          <a:off x="0" y="1"/>
          <a:ext cx="17455405" cy="7108658"/>
        </a:xfrm>
        <a:prstGeom prst="rect">
          <a:avLst/>
        </a:prstGeom>
        <a:solidFill>
          <a:srgbClr val="1D7C5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16</xdr:col>
      <xdr:colOff>583164</xdr:colOff>
      <xdr:row>7</xdr:row>
      <xdr:rowOff>48596</xdr:rowOff>
    </xdr:to>
    <xdr:grpSp>
      <xdr:nvGrpSpPr>
        <xdr:cNvPr id="4" name="Group 3">
          <a:extLst>
            <a:ext uri="{FF2B5EF4-FFF2-40B4-BE49-F238E27FC236}">
              <a16:creationId xmlns:a16="http://schemas.microsoft.com/office/drawing/2014/main" id="{EFC8753F-FCEF-F2EB-A44A-2D865C5F4406}"/>
            </a:ext>
          </a:extLst>
        </xdr:cNvPr>
        <xdr:cNvGrpSpPr/>
      </xdr:nvGrpSpPr>
      <xdr:grpSpPr>
        <a:xfrm>
          <a:off x="0" y="0"/>
          <a:ext cx="10298664" cy="1382096"/>
          <a:chOff x="0" y="0"/>
          <a:chExt cx="10208427" cy="1335307"/>
        </a:xfrm>
      </xdr:grpSpPr>
      <xdr:sp macro="" textlink="">
        <xdr:nvSpPr>
          <xdr:cNvPr id="25" name="Rectangle 24">
            <a:extLst>
              <a:ext uri="{FF2B5EF4-FFF2-40B4-BE49-F238E27FC236}">
                <a16:creationId xmlns:a16="http://schemas.microsoft.com/office/drawing/2014/main" id="{B087471A-77FB-45D3-950D-03B448510B2D}"/>
              </a:ext>
            </a:extLst>
          </xdr:cNvPr>
          <xdr:cNvSpPr/>
        </xdr:nvSpPr>
        <xdr:spPr>
          <a:xfrm>
            <a:off x="1" y="0"/>
            <a:ext cx="10208426" cy="1335307"/>
          </a:xfrm>
          <a:prstGeom prst="rect">
            <a:avLst/>
          </a:prstGeom>
          <a:solidFill>
            <a:srgbClr val="C2E0D4"/>
          </a:solidFill>
          <a:ln>
            <a:solidFill>
              <a:srgbClr val="2F5A4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2" name="Picture 31">
            <a:extLst>
              <a:ext uri="{FF2B5EF4-FFF2-40B4-BE49-F238E27FC236}">
                <a16:creationId xmlns:a16="http://schemas.microsoft.com/office/drawing/2014/main" id="{8B4AE547-2B75-10A9-17A8-6C931320F52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882029" cy="1264820"/>
          </a:xfrm>
          <a:prstGeom prst="rect">
            <a:avLst/>
          </a:prstGeom>
        </xdr:spPr>
      </xdr:pic>
      <xdr:sp macro="" textlink="">
        <xdr:nvSpPr>
          <xdr:cNvPr id="37" name="TextBox 36">
            <a:extLst>
              <a:ext uri="{FF2B5EF4-FFF2-40B4-BE49-F238E27FC236}">
                <a16:creationId xmlns:a16="http://schemas.microsoft.com/office/drawing/2014/main" id="{02F297CE-A5C6-9E90-2902-908F16EB0CC0}"/>
              </a:ext>
            </a:extLst>
          </xdr:cNvPr>
          <xdr:cNvSpPr txBox="1"/>
        </xdr:nvSpPr>
        <xdr:spPr>
          <a:xfrm>
            <a:off x="3997861" y="155505"/>
            <a:ext cx="5909264" cy="938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rgbClr val="1D7C5B"/>
                </a:solidFill>
              </a:rPr>
              <a:t>2023 REPORT</a:t>
            </a:r>
            <a:r>
              <a:rPr lang="en-US" sz="4000" b="1" baseline="0">
                <a:solidFill>
                  <a:srgbClr val="1D7C5B"/>
                </a:solidFill>
              </a:rPr>
              <a:t> DASHBOARD</a:t>
            </a:r>
            <a:endParaRPr lang="en-US" sz="4000" b="1">
              <a:solidFill>
                <a:srgbClr val="1D7C5B"/>
              </a:solidFill>
            </a:endParaRPr>
          </a:p>
        </xdr:txBody>
      </xdr:sp>
    </xdr:grpSp>
    <xdr:clientData/>
  </xdr:twoCellAnchor>
  <xdr:twoCellAnchor>
    <xdr:from>
      <xdr:col>0</xdr:col>
      <xdr:colOff>0</xdr:colOff>
      <xdr:row>7</xdr:row>
      <xdr:rowOff>174940</xdr:rowOff>
    </xdr:from>
    <xdr:to>
      <xdr:col>4</xdr:col>
      <xdr:colOff>331744</xdr:colOff>
      <xdr:row>36</xdr:row>
      <xdr:rowOff>145782</xdr:rowOff>
    </xdr:to>
    <xdr:grpSp>
      <xdr:nvGrpSpPr>
        <xdr:cNvPr id="96" name="Group 95">
          <a:extLst>
            <a:ext uri="{FF2B5EF4-FFF2-40B4-BE49-F238E27FC236}">
              <a16:creationId xmlns:a16="http://schemas.microsoft.com/office/drawing/2014/main" id="{F732831B-7AE5-F53E-A500-EDB2C0536334}"/>
            </a:ext>
          </a:extLst>
        </xdr:cNvPr>
        <xdr:cNvGrpSpPr/>
      </xdr:nvGrpSpPr>
      <xdr:grpSpPr>
        <a:xfrm>
          <a:off x="0" y="1508440"/>
          <a:ext cx="2760619" cy="5495342"/>
          <a:chOff x="0" y="1137167"/>
          <a:chExt cx="2782661" cy="5608087"/>
        </a:xfrm>
      </xdr:grpSpPr>
      <xdr:sp macro="" textlink="">
        <xdr:nvSpPr>
          <xdr:cNvPr id="39" name="Rectangle 38">
            <a:extLst>
              <a:ext uri="{FF2B5EF4-FFF2-40B4-BE49-F238E27FC236}">
                <a16:creationId xmlns:a16="http://schemas.microsoft.com/office/drawing/2014/main" id="{DB8A09A5-AA5C-4643-AC0C-B9A8FDD0FC7D}"/>
              </a:ext>
            </a:extLst>
          </xdr:cNvPr>
          <xdr:cNvSpPr/>
        </xdr:nvSpPr>
        <xdr:spPr>
          <a:xfrm>
            <a:off x="0" y="1137167"/>
            <a:ext cx="2782661" cy="5608087"/>
          </a:xfrm>
          <a:prstGeom prst="rect">
            <a:avLst/>
          </a:prstGeom>
          <a:solidFill>
            <a:srgbClr val="C2E0D4"/>
          </a:solidFill>
          <a:ln>
            <a:solidFill>
              <a:srgbClr val="2F5A4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3" name="Group 52">
            <a:extLst>
              <a:ext uri="{FF2B5EF4-FFF2-40B4-BE49-F238E27FC236}">
                <a16:creationId xmlns:a16="http://schemas.microsoft.com/office/drawing/2014/main" id="{D7AB262F-6C51-6D51-0140-C4FF895E5B8C}"/>
              </a:ext>
            </a:extLst>
          </xdr:cNvPr>
          <xdr:cNvGrpSpPr/>
        </xdr:nvGrpSpPr>
        <xdr:grpSpPr>
          <a:xfrm>
            <a:off x="174948" y="1176045"/>
            <a:ext cx="2594324" cy="1039975"/>
            <a:chOff x="174948" y="1176046"/>
            <a:chExt cx="2594324" cy="933062"/>
          </a:xfrm>
        </xdr:grpSpPr>
        <xdr:sp macro="" textlink="">
          <xdr:nvSpPr>
            <xdr:cNvPr id="50" name="Rectangle 49">
              <a:extLst>
                <a:ext uri="{FF2B5EF4-FFF2-40B4-BE49-F238E27FC236}">
                  <a16:creationId xmlns:a16="http://schemas.microsoft.com/office/drawing/2014/main" id="{32ADD60A-49A8-4AA8-8530-5CEA12926B5F}"/>
                </a:ext>
              </a:extLst>
            </xdr:cNvPr>
            <xdr:cNvSpPr/>
          </xdr:nvSpPr>
          <xdr:spPr>
            <a:xfrm>
              <a:off x="174948" y="1176046"/>
              <a:ext cx="2342373" cy="933062"/>
            </a:xfrm>
            <a:prstGeom prst="rect">
              <a:avLst/>
            </a:prstGeom>
            <a:solidFill>
              <a:srgbClr val="C2E0D4"/>
            </a:solidFill>
            <a:ln>
              <a:solidFill>
                <a:srgbClr val="2F5A4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 name="TextBox 50">
              <a:extLst>
                <a:ext uri="{FF2B5EF4-FFF2-40B4-BE49-F238E27FC236}">
                  <a16:creationId xmlns:a16="http://schemas.microsoft.com/office/drawing/2014/main" id="{83BDFF5F-EB76-364B-6D19-0A8F2B89C6D1}"/>
                </a:ext>
              </a:extLst>
            </xdr:cNvPr>
            <xdr:cNvSpPr txBox="1"/>
          </xdr:nvSpPr>
          <xdr:spPr>
            <a:xfrm>
              <a:off x="436618" y="1258796"/>
              <a:ext cx="2332654" cy="437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rgbClr val="1D7C5B"/>
                  </a:solidFill>
                  <a:latin typeface="Poppins" panose="00000500000000000000" pitchFamily="2" charset="0"/>
                  <a:cs typeface="Poppins" panose="00000500000000000000" pitchFamily="2" charset="0"/>
                </a:rPr>
                <a:t>TOTAL</a:t>
              </a:r>
              <a:r>
                <a:rPr lang="en-US" sz="1500" b="1" baseline="0">
                  <a:solidFill>
                    <a:srgbClr val="1D7C5B"/>
                  </a:solidFill>
                  <a:latin typeface="Poppins" panose="00000500000000000000" pitchFamily="2" charset="0"/>
                  <a:cs typeface="Poppins" panose="00000500000000000000" pitchFamily="2" charset="0"/>
                </a:rPr>
                <a:t> BILLED AMOUNT</a:t>
              </a:r>
              <a:endParaRPr lang="en-US" sz="1500" b="1">
                <a:solidFill>
                  <a:srgbClr val="1D7C5B"/>
                </a:solidFill>
                <a:latin typeface="Poppins" panose="00000500000000000000" pitchFamily="2" charset="0"/>
                <a:cs typeface="Poppins" panose="00000500000000000000" pitchFamily="2" charset="0"/>
              </a:endParaRPr>
            </a:p>
          </xdr:txBody>
        </xdr:sp>
        <xdr:sp macro="" textlink="'Revenue by Payment Status'!$B$6">
          <xdr:nvSpPr>
            <xdr:cNvPr id="52" name="TextBox 51">
              <a:extLst>
                <a:ext uri="{FF2B5EF4-FFF2-40B4-BE49-F238E27FC236}">
                  <a16:creationId xmlns:a16="http://schemas.microsoft.com/office/drawing/2014/main" id="{45DC6A1F-3377-E4B6-897E-A90892CFF484}"/>
                </a:ext>
              </a:extLst>
            </xdr:cNvPr>
            <xdr:cNvSpPr txBox="1"/>
          </xdr:nvSpPr>
          <xdr:spPr>
            <a:xfrm>
              <a:off x="447093" y="1652296"/>
              <a:ext cx="1846684" cy="38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FC44F8-4B89-4D9B-A04A-D23A66D067F3}" type="TxLink">
                <a:rPr lang="en-US" sz="1500" b="1" i="0" u="none" strike="noStrike">
                  <a:solidFill>
                    <a:srgbClr val="1D7C5B"/>
                  </a:solidFill>
                  <a:latin typeface="Poppins" panose="00000500000000000000" pitchFamily="2" charset="0"/>
                  <a:cs typeface="Poppins" panose="00000500000000000000" pitchFamily="2" charset="0"/>
                </a:rPr>
                <a:pPr/>
                <a:t> ₦10,243,233 </a:t>
              </a:fld>
              <a:endParaRPr lang="en-US" sz="1500" b="1">
                <a:solidFill>
                  <a:srgbClr val="1D7C5B"/>
                </a:solidFill>
                <a:latin typeface="Poppins" panose="00000500000000000000" pitchFamily="2" charset="0"/>
                <a:cs typeface="Poppins" panose="00000500000000000000" pitchFamily="2" charset="0"/>
              </a:endParaRPr>
            </a:p>
          </xdr:txBody>
        </xdr:sp>
      </xdr:grpSp>
      <xdr:grpSp>
        <xdr:nvGrpSpPr>
          <xdr:cNvPr id="54" name="Group 53">
            <a:extLst>
              <a:ext uri="{FF2B5EF4-FFF2-40B4-BE49-F238E27FC236}">
                <a16:creationId xmlns:a16="http://schemas.microsoft.com/office/drawing/2014/main" id="{AEFD783E-3247-436D-AF0A-32AD5EFB598D}"/>
              </a:ext>
            </a:extLst>
          </xdr:cNvPr>
          <xdr:cNvGrpSpPr/>
        </xdr:nvGrpSpPr>
        <xdr:grpSpPr>
          <a:xfrm>
            <a:off x="174949" y="2313213"/>
            <a:ext cx="2342373" cy="1185768"/>
            <a:chOff x="174948" y="1176046"/>
            <a:chExt cx="2342373" cy="933062"/>
          </a:xfrm>
        </xdr:grpSpPr>
        <xdr:sp macro="" textlink="">
          <xdr:nvSpPr>
            <xdr:cNvPr id="55" name="Rectangle 54">
              <a:extLst>
                <a:ext uri="{FF2B5EF4-FFF2-40B4-BE49-F238E27FC236}">
                  <a16:creationId xmlns:a16="http://schemas.microsoft.com/office/drawing/2014/main" id="{36B99B57-82D3-C0E9-F86D-07CB23E72D42}"/>
                </a:ext>
              </a:extLst>
            </xdr:cNvPr>
            <xdr:cNvSpPr/>
          </xdr:nvSpPr>
          <xdr:spPr>
            <a:xfrm>
              <a:off x="174948" y="1176046"/>
              <a:ext cx="2342373" cy="933062"/>
            </a:xfrm>
            <a:prstGeom prst="rect">
              <a:avLst/>
            </a:prstGeom>
            <a:solidFill>
              <a:srgbClr val="C2E0D4"/>
            </a:solidFill>
            <a:ln>
              <a:solidFill>
                <a:srgbClr val="2F5A4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6" name="TextBox 55">
              <a:extLst>
                <a:ext uri="{FF2B5EF4-FFF2-40B4-BE49-F238E27FC236}">
                  <a16:creationId xmlns:a16="http://schemas.microsoft.com/office/drawing/2014/main" id="{C8E2729C-90C9-905D-8BD4-5240D5673B93}"/>
                </a:ext>
              </a:extLst>
            </xdr:cNvPr>
            <xdr:cNvSpPr txBox="1"/>
          </xdr:nvSpPr>
          <xdr:spPr>
            <a:xfrm>
              <a:off x="550308" y="1273566"/>
              <a:ext cx="1914719" cy="437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rgbClr val="1D7C5B"/>
                  </a:solidFill>
                  <a:latin typeface="Poppins" panose="00000500000000000000" pitchFamily="2" charset="0"/>
                  <a:cs typeface="Poppins" panose="00000500000000000000" pitchFamily="2" charset="0"/>
                </a:rPr>
                <a:t>PAID</a:t>
              </a:r>
              <a:r>
                <a:rPr lang="en-US" sz="1500" b="1" baseline="0">
                  <a:solidFill>
                    <a:srgbClr val="1D7C5B"/>
                  </a:solidFill>
                  <a:latin typeface="Poppins" panose="00000500000000000000" pitchFamily="2" charset="0"/>
                  <a:cs typeface="Poppins" panose="00000500000000000000" pitchFamily="2" charset="0"/>
                </a:rPr>
                <a:t> REVENUE</a:t>
              </a:r>
              <a:endParaRPr lang="en-US" sz="1500" b="1">
                <a:solidFill>
                  <a:srgbClr val="1D7C5B"/>
                </a:solidFill>
                <a:latin typeface="Poppins" panose="00000500000000000000" pitchFamily="2" charset="0"/>
                <a:cs typeface="Poppins" panose="00000500000000000000" pitchFamily="2" charset="0"/>
              </a:endParaRPr>
            </a:p>
          </xdr:txBody>
        </xdr:sp>
        <xdr:sp macro="" textlink="'Revenue by Payment Status'!$B$2">
          <xdr:nvSpPr>
            <xdr:cNvPr id="57" name="TextBox 56">
              <a:extLst>
                <a:ext uri="{FF2B5EF4-FFF2-40B4-BE49-F238E27FC236}">
                  <a16:creationId xmlns:a16="http://schemas.microsoft.com/office/drawing/2014/main" id="{EA46E217-5B0D-FD04-53C3-C3D87C194F4F}"/>
                </a:ext>
              </a:extLst>
            </xdr:cNvPr>
            <xdr:cNvSpPr txBox="1"/>
          </xdr:nvSpPr>
          <xdr:spPr>
            <a:xfrm>
              <a:off x="456811" y="1636208"/>
              <a:ext cx="1885560" cy="38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D47CE9-34E0-4ACE-91DD-BFAC5AC3B304}" type="TxLink">
                <a:rPr lang="en-US" sz="1500" b="1" i="0" u="none" strike="noStrike">
                  <a:solidFill>
                    <a:srgbClr val="1D7C5B"/>
                  </a:solidFill>
                  <a:latin typeface="Poppins" panose="00000500000000000000" pitchFamily="2" charset="0"/>
                  <a:cs typeface="Poppins" panose="00000500000000000000" pitchFamily="2" charset="0"/>
                </a:rPr>
                <a:pPr/>
                <a:t> ₦4,103,685 </a:t>
              </a:fld>
              <a:endParaRPr lang="en-US" sz="1500" b="1">
                <a:solidFill>
                  <a:srgbClr val="1D7C5B"/>
                </a:solidFill>
                <a:latin typeface="Poppins" panose="00000500000000000000" pitchFamily="2" charset="0"/>
                <a:cs typeface="Poppins" panose="00000500000000000000" pitchFamily="2" charset="0"/>
              </a:endParaRPr>
            </a:p>
          </xdr:txBody>
        </xdr:sp>
      </xdr:grpSp>
      <xdr:grpSp>
        <xdr:nvGrpSpPr>
          <xdr:cNvPr id="58" name="Group 57">
            <a:extLst>
              <a:ext uri="{FF2B5EF4-FFF2-40B4-BE49-F238E27FC236}">
                <a16:creationId xmlns:a16="http://schemas.microsoft.com/office/drawing/2014/main" id="{07244DC0-0AB4-42CC-9CFE-5E379A4D73F7}"/>
              </a:ext>
            </a:extLst>
          </xdr:cNvPr>
          <xdr:cNvGrpSpPr/>
        </xdr:nvGrpSpPr>
        <xdr:grpSpPr>
          <a:xfrm>
            <a:off x="174948" y="3586457"/>
            <a:ext cx="2352092" cy="933062"/>
            <a:chOff x="174948" y="1176046"/>
            <a:chExt cx="2342373" cy="933062"/>
          </a:xfrm>
        </xdr:grpSpPr>
        <xdr:sp macro="" textlink="">
          <xdr:nvSpPr>
            <xdr:cNvPr id="59" name="Rectangle 58">
              <a:extLst>
                <a:ext uri="{FF2B5EF4-FFF2-40B4-BE49-F238E27FC236}">
                  <a16:creationId xmlns:a16="http://schemas.microsoft.com/office/drawing/2014/main" id="{916358E0-7E65-797D-34F6-64C0FB9CEEB1}"/>
                </a:ext>
              </a:extLst>
            </xdr:cNvPr>
            <xdr:cNvSpPr/>
          </xdr:nvSpPr>
          <xdr:spPr>
            <a:xfrm>
              <a:off x="174948" y="1176046"/>
              <a:ext cx="2342373" cy="933062"/>
            </a:xfrm>
            <a:prstGeom prst="rect">
              <a:avLst/>
            </a:prstGeom>
            <a:solidFill>
              <a:srgbClr val="C2E0D4"/>
            </a:solidFill>
            <a:ln>
              <a:solidFill>
                <a:srgbClr val="2F5A4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TextBox 59">
              <a:extLst>
                <a:ext uri="{FF2B5EF4-FFF2-40B4-BE49-F238E27FC236}">
                  <a16:creationId xmlns:a16="http://schemas.microsoft.com/office/drawing/2014/main" id="{4521891D-9C67-A9B4-C54C-6933C61274E9}"/>
                </a:ext>
              </a:extLst>
            </xdr:cNvPr>
            <xdr:cNvSpPr txBox="1"/>
          </xdr:nvSpPr>
          <xdr:spPr>
            <a:xfrm>
              <a:off x="242982" y="1302401"/>
              <a:ext cx="2186862" cy="437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1D7C5B"/>
                  </a:solidFill>
                  <a:latin typeface="Poppins" panose="00000500000000000000" pitchFamily="2" charset="0"/>
                  <a:cs typeface="Poppins" panose="00000500000000000000" pitchFamily="2" charset="0"/>
                </a:rPr>
                <a:t>MOST-VISITED</a:t>
              </a:r>
              <a:r>
                <a:rPr lang="en-US" sz="1400" b="1" baseline="0">
                  <a:solidFill>
                    <a:srgbClr val="1D7C5B"/>
                  </a:solidFill>
                  <a:latin typeface="Poppins" panose="00000500000000000000" pitchFamily="2" charset="0"/>
                  <a:cs typeface="Poppins" panose="00000500000000000000" pitchFamily="2" charset="0"/>
                </a:rPr>
                <a:t> STATE</a:t>
              </a:r>
              <a:endParaRPr lang="en-US" sz="1400" b="1">
                <a:solidFill>
                  <a:srgbClr val="1D7C5B"/>
                </a:solidFill>
                <a:latin typeface="Poppins" panose="00000500000000000000" pitchFamily="2" charset="0"/>
                <a:cs typeface="Poppins" panose="00000500000000000000" pitchFamily="2" charset="0"/>
              </a:endParaRPr>
            </a:p>
          </xdr:txBody>
        </xdr:sp>
        <xdr:sp macro="" textlink="'Patient Count by State'!$A$2">
          <xdr:nvSpPr>
            <xdr:cNvPr id="61" name="TextBox 60">
              <a:extLst>
                <a:ext uri="{FF2B5EF4-FFF2-40B4-BE49-F238E27FC236}">
                  <a16:creationId xmlns:a16="http://schemas.microsoft.com/office/drawing/2014/main" id="{D0C7B970-9685-DFE2-E6CB-5CDC7EA0BBED}"/>
                </a:ext>
              </a:extLst>
            </xdr:cNvPr>
            <xdr:cNvSpPr txBox="1"/>
          </xdr:nvSpPr>
          <xdr:spPr>
            <a:xfrm>
              <a:off x="709516" y="1564821"/>
              <a:ext cx="923341" cy="38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C40B449-3B60-44A4-B9DA-4D0CF8AE81D7}" type="TxLink">
                <a:rPr lang="en-US" sz="1500" b="1" i="0" u="none" strike="noStrike">
                  <a:solidFill>
                    <a:srgbClr val="1D7C5B"/>
                  </a:solidFill>
                  <a:latin typeface="Poppins" panose="00000500000000000000" pitchFamily="2" charset="0"/>
                  <a:cs typeface="Poppins" panose="00000500000000000000" pitchFamily="2" charset="0"/>
                </a:rPr>
                <a:pPr/>
                <a:t>Enugu</a:t>
              </a:fld>
              <a:endParaRPr lang="en-US" sz="1500" b="1">
                <a:solidFill>
                  <a:srgbClr val="1D7C5B"/>
                </a:solidFill>
                <a:latin typeface="Poppins" panose="00000500000000000000" pitchFamily="2" charset="0"/>
                <a:cs typeface="Poppins" panose="00000500000000000000" pitchFamily="2" charset="0"/>
              </a:endParaRPr>
            </a:p>
          </xdr:txBody>
        </xdr:sp>
      </xdr:grpSp>
      <xdr:grpSp>
        <xdr:nvGrpSpPr>
          <xdr:cNvPr id="62" name="Group 61">
            <a:extLst>
              <a:ext uri="{FF2B5EF4-FFF2-40B4-BE49-F238E27FC236}">
                <a16:creationId xmlns:a16="http://schemas.microsoft.com/office/drawing/2014/main" id="{57948F72-C215-49EC-87F4-FFC7EE609903}"/>
              </a:ext>
            </a:extLst>
          </xdr:cNvPr>
          <xdr:cNvGrpSpPr/>
        </xdr:nvGrpSpPr>
        <xdr:grpSpPr>
          <a:xfrm>
            <a:off x="174949" y="4587159"/>
            <a:ext cx="2546121" cy="933062"/>
            <a:chOff x="174948" y="1176046"/>
            <a:chExt cx="2535601" cy="933062"/>
          </a:xfrm>
        </xdr:grpSpPr>
        <xdr:sp macro="" textlink="">
          <xdr:nvSpPr>
            <xdr:cNvPr id="63" name="Rectangle 62">
              <a:extLst>
                <a:ext uri="{FF2B5EF4-FFF2-40B4-BE49-F238E27FC236}">
                  <a16:creationId xmlns:a16="http://schemas.microsoft.com/office/drawing/2014/main" id="{1AEE0D73-17F0-88FD-F63A-7F7EA0349884}"/>
                </a:ext>
              </a:extLst>
            </xdr:cNvPr>
            <xdr:cNvSpPr/>
          </xdr:nvSpPr>
          <xdr:spPr>
            <a:xfrm>
              <a:off x="174948" y="1176046"/>
              <a:ext cx="2342373" cy="933062"/>
            </a:xfrm>
            <a:prstGeom prst="rect">
              <a:avLst/>
            </a:prstGeom>
            <a:solidFill>
              <a:srgbClr val="C2E0D4"/>
            </a:solidFill>
            <a:ln>
              <a:solidFill>
                <a:srgbClr val="2F5A4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4" name="TextBox 63">
              <a:extLst>
                <a:ext uri="{FF2B5EF4-FFF2-40B4-BE49-F238E27FC236}">
                  <a16:creationId xmlns:a16="http://schemas.microsoft.com/office/drawing/2014/main" id="{18304021-62D3-C61F-8583-B43EFC70E35C}"/>
                </a:ext>
              </a:extLst>
            </xdr:cNvPr>
            <xdr:cNvSpPr txBox="1"/>
          </xdr:nvSpPr>
          <xdr:spPr>
            <a:xfrm>
              <a:off x="523687" y="1232197"/>
              <a:ext cx="2186862" cy="437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1D7C5B"/>
                  </a:solidFill>
                  <a:latin typeface="Poppins" panose="00000500000000000000" pitchFamily="2" charset="0"/>
                  <a:cs typeface="Poppins" panose="00000500000000000000" pitchFamily="2" charset="0"/>
                </a:rPr>
                <a:t>PEAK</a:t>
              </a:r>
              <a:r>
                <a:rPr lang="en-US" sz="1400" b="1" baseline="0">
                  <a:solidFill>
                    <a:srgbClr val="1D7C5B"/>
                  </a:solidFill>
                  <a:latin typeface="Poppins" panose="00000500000000000000" pitchFamily="2" charset="0"/>
                  <a:cs typeface="Poppins" panose="00000500000000000000" pitchFamily="2" charset="0"/>
                </a:rPr>
                <a:t> REVENUE MONTH</a:t>
              </a:r>
              <a:endParaRPr lang="en-US" sz="1400" b="1">
                <a:solidFill>
                  <a:srgbClr val="1D7C5B"/>
                </a:solidFill>
                <a:latin typeface="Poppins" panose="00000500000000000000" pitchFamily="2" charset="0"/>
                <a:cs typeface="Poppins" panose="00000500000000000000" pitchFamily="2" charset="0"/>
              </a:endParaRPr>
            </a:p>
          </xdr:txBody>
        </xdr:sp>
        <xdr:sp macro="" textlink="'Monthly Revenue'!$A$13">
          <xdr:nvSpPr>
            <xdr:cNvPr id="65" name="TextBox 64">
              <a:extLst>
                <a:ext uri="{FF2B5EF4-FFF2-40B4-BE49-F238E27FC236}">
                  <a16:creationId xmlns:a16="http://schemas.microsoft.com/office/drawing/2014/main" id="{66E39AE4-9ED7-9E1F-A15F-61F2AB0D1F65}"/>
                </a:ext>
              </a:extLst>
            </xdr:cNvPr>
            <xdr:cNvSpPr txBox="1"/>
          </xdr:nvSpPr>
          <xdr:spPr>
            <a:xfrm>
              <a:off x="709516" y="1613416"/>
              <a:ext cx="1381919" cy="38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3903BD-6A7D-4015-9925-3B75914FA9C4}" type="TxLink">
                <a:rPr lang="en-US" sz="1500" b="1" i="0" u="none" strike="noStrike">
                  <a:solidFill>
                    <a:srgbClr val="1D7C5B"/>
                  </a:solidFill>
                  <a:latin typeface="Poppins" panose="00000500000000000000" pitchFamily="2" charset="0"/>
                  <a:cs typeface="Poppins" panose="00000500000000000000" pitchFamily="2" charset="0"/>
                </a:rPr>
                <a:pPr/>
                <a:t>December</a:t>
              </a:fld>
              <a:endParaRPr lang="en-US" sz="1500" b="1">
                <a:solidFill>
                  <a:srgbClr val="1D7C5B"/>
                </a:solidFill>
                <a:latin typeface="Poppins" panose="00000500000000000000" pitchFamily="2" charset="0"/>
                <a:cs typeface="Poppins" panose="00000500000000000000" pitchFamily="2" charset="0"/>
              </a:endParaRPr>
            </a:p>
          </xdr:txBody>
        </xdr:sp>
      </xdr:grpSp>
      <xdr:grpSp>
        <xdr:nvGrpSpPr>
          <xdr:cNvPr id="66" name="Group 65">
            <a:extLst>
              <a:ext uri="{FF2B5EF4-FFF2-40B4-BE49-F238E27FC236}">
                <a16:creationId xmlns:a16="http://schemas.microsoft.com/office/drawing/2014/main" id="{E5D3F697-8760-480D-AE51-4AE91B50F5C4}"/>
              </a:ext>
            </a:extLst>
          </xdr:cNvPr>
          <xdr:cNvGrpSpPr/>
        </xdr:nvGrpSpPr>
        <xdr:grpSpPr>
          <a:xfrm>
            <a:off x="174949" y="5617813"/>
            <a:ext cx="2352092" cy="933062"/>
            <a:chOff x="174948" y="1176046"/>
            <a:chExt cx="2342373" cy="933062"/>
          </a:xfrm>
        </xdr:grpSpPr>
        <xdr:sp macro="" textlink="">
          <xdr:nvSpPr>
            <xdr:cNvPr id="67" name="Rectangle 66">
              <a:extLst>
                <a:ext uri="{FF2B5EF4-FFF2-40B4-BE49-F238E27FC236}">
                  <a16:creationId xmlns:a16="http://schemas.microsoft.com/office/drawing/2014/main" id="{5B8AB4FA-13A7-D5CB-D448-16987CE05F68}"/>
                </a:ext>
              </a:extLst>
            </xdr:cNvPr>
            <xdr:cNvSpPr/>
          </xdr:nvSpPr>
          <xdr:spPr>
            <a:xfrm>
              <a:off x="174948" y="1176046"/>
              <a:ext cx="2342373" cy="933062"/>
            </a:xfrm>
            <a:prstGeom prst="rect">
              <a:avLst/>
            </a:prstGeom>
            <a:solidFill>
              <a:srgbClr val="C2E0D4"/>
            </a:solidFill>
            <a:ln>
              <a:solidFill>
                <a:srgbClr val="2F5A4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8" name="TextBox 67">
              <a:extLst>
                <a:ext uri="{FF2B5EF4-FFF2-40B4-BE49-F238E27FC236}">
                  <a16:creationId xmlns:a16="http://schemas.microsoft.com/office/drawing/2014/main" id="{16BECAB0-B74F-9283-8331-CAD05C0AF6E8}"/>
                </a:ext>
              </a:extLst>
            </xdr:cNvPr>
            <xdr:cNvSpPr txBox="1"/>
          </xdr:nvSpPr>
          <xdr:spPr>
            <a:xfrm>
              <a:off x="328559" y="1210598"/>
              <a:ext cx="2186862" cy="437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solidFill>
                    <a:srgbClr val="1D7C5B"/>
                  </a:solidFill>
                  <a:latin typeface="Poppins" panose="00000500000000000000" pitchFamily="2" charset="0"/>
                  <a:cs typeface="Poppins" panose="00000500000000000000" pitchFamily="2" charset="0"/>
                </a:rPr>
                <a:t>Most-Visited Dept.</a:t>
              </a:r>
              <a:endParaRPr lang="en-US" sz="1400" b="1">
                <a:solidFill>
                  <a:srgbClr val="1D7C5B"/>
                </a:solidFill>
                <a:latin typeface="Poppins" panose="00000500000000000000" pitchFamily="2" charset="0"/>
                <a:cs typeface="Poppins" panose="00000500000000000000" pitchFamily="2" charset="0"/>
              </a:endParaRPr>
            </a:p>
          </xdr:txBody>
        </xdr:sp>
        <xdr:sp macro="" textlink="'Visits by Dept.'!A4">
          <xdr:nvSpPr>
            <xdr:cNvPr id="69" name="TextBox 68">
              <a:extLst>
                <a:ext uri="{FF2B5EF4-FFF2-40B4-BE49-F238E27FC236}">
                  <a16:creationId xmlns:a16="http://schemas.microsoft.com/office/drawing/2014/main" id="{A814B73F-6DB9-FFBE-00F3-3898FAFA5D7A}"/>
                </a:ext>
              </a:extLst>
            </xdr:cNvPr>
            <xdr:cNvSpPr txBox="1"/>
          </xdr:nvSpPr>
          <xdr:spPr>
            <a:xfrm>
              <a:off x="677479" y="1613416"/>
              <a:ext cx="1381919" cy="38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3BF31A-E4F7-4C02-B4A9-1F560350951E}" type="TxLink">
                <a:rPr lang="en-US" sz="1500" b="1" i="0" u="none" strike="noStrike">
                  <a:solidFill>
                    <a:srgbClr val="1D7C5B"/>
                  </a:solidFill>
                  <a:latin typeface="Poppins" panose="00000500000000000000" pitchFamily="2" charset="0"/>
                  <a:cs typeface="Poppins" panose="00000500000000000000" pitchFamily="2" charset="0"/>
                </a:rPr>
                <a:pPr/>
                <a:t>Eye Clinic</a:t>
              </a:fld>
              <a:endParaRPr lang="en-US" sz="1500" b="1">
                <a:solidFill>
                  <a:srgbClr val="1D7C5B"/>
                </a:solidFill>
                <a:latin typeface="Poppins" panose="00000500000000000000" pitchFamily="2" charset="0"/>
                <a:cs typeface="Poppins" panose="00000500000000000000" pitchFamily="2" charset="0"/>
              </a:endParaRPr>
            </a:p>
          </xdr:txBody>
        </xdr:sp>
      </xdr:grpSp>
    </xdr:grpSp>
    <xdr:clientData/>
  </xdr:twoCellAnchor>
  <xdr:twoCellAnchor>
    <xdr:from>
      <xdr:col>4</xdr:col>
      <xdr:colOff>428626</xdr:colOff>
      <xdr:row>7</xdr:row>
      <xdr:rowOff>193402</xdr:rowOff>
    </xdr:from>
    <xdr:to>
      <xdr:col>12</xdr:col>
      <xdr:colOff>277939</xdr:colOff>
      <xdr:row>21</xdr:row>
      <xdr:rowOff>113314</xdr:rowOff>
    </xdr:to>
    <xdr:grpSp>
      <xdr:nvGrpSpPr>
        <xdr:cNvPr id="95" name="Group 94">
          <a:extLst>
            <a:ext uri="{FF2B5EF4-FFF2-40B4-BE49-F238E27FC236}">
              <a16:creationId xmlns:a16="http://schemas.microsoft.com/office/drawing/2014/main" id="{53BE9252-3C62-3274-016B-163615BD95F1}"/>
            </a:ext>
          </a:extLst>
        </xdr:cNvPr>
        <xdr:cNvGrpSpPr/>
      </xdr:nvGrpSpPr>
      <xdr:grpSpPr>
        <a:xfrm>
          <a:off x="2857501" y="1526902"/>
          <a:ext cx="4707063" cy="2586912"/>
          <a:chOff x="2877912" y="1213951"/>
          <a:chExt cx="4747884" cy="2641341"/>
        </a:xfrm>
      </xdr:grpSpPr>
      <xdr:sp macro="" textlink="">
        <xdr:nvSpPr>
          <xdr:cNvPr id="38" name="Rectangle 37">
            <a:extLst>
              <a:ext uri="{FF2B5EF4-FFF2-40B4-BE49-F238E27FC236}">
                <a16:creationId xmlns:a16="http://schemas.microsoft.com/office/drawing/2014/main" id="{EE103F00-2F80-806B-9D8D-1DB726F175FE}"/>
              </a:ext>
            </a:extLst>
          </xdr:cNvPr>
          <xdr:cNvSpPr/>
        </xdr:nvSpPr>
        <xdr:spPr>
          <a:xfrm>
            <a:off x="2877912" y="1213951"/>
            <a:ext cx="4747884" cy="2641341"/>
          </a:xfrm>
          <a:prstGeom prst="rect">
            <a:avLst/>
          </a:prstGeom>
          <a:solidFill>
            <a:srgbClr val="C2E0D4"/>
          </a:solidFill>
          <a:ln>
            <a:solidFill>
              <a:srgbClr val="2F5A4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5" name="Chart 14">
            <a:extLst>
              <a:ext uri="{FF2B5EF4-FFF2-40B4-BE49-F238E27FC236}">
                <a16:creationId xmlns:a16="http://schemas.microsoft.com/office/drawing/2014/main" id="{6DE8E046-3423-462D-A141-5C68E853F0A8}"/>
              </a:ext>
            </a:extLst>
          </xdr:cNvPr>
          <xdr:cNvGraphicFramePr>
            <a:graphicFrameLocks/>
          </xdr:cNvGraphicFramePr>
        </xdr:nvGraphicFramePr>
        <xdr:xfrm>
          <a:off x="2964411" y="1312115"/>
          <a:ext cx="4572000" cy="2478445"/>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12</xdr:col>
      <xdr:colOff>369337</xdr:colOff>
      <xdr:row>8</xdr:row>
      <xdr:rowOff>8540</xdr:rowOff>
    </xdr:from>
    <xdr:to>
      <xdr:col>19</xdr:col>
      <xdr:colOff>609985</xdr:colOff>
      <xdr:row>21</xdr:row>
      <xdr:rowOff>113314</xdr:rowOff>
    </xdr:to>
    <xdr:grpSp>
      <xdr:nvGrpSpPr>
        <xdr:cNvPr id="94" name="Group 93">
          <a:extLst>
            <a:ext uri="{FF2B5EF4-FFF2-40B4-BE49-F238E27FC236}">
              <a16:creationId xmlns:a16="http://schemas.microsoft.com/office/drawing/2014/main" id="{A4AA6F9A-AD13-FB2C-28DB-D149F52ADD41}"/>
            </a:ext>
          </a:extLst>
        </xdr:cNvPr>
        <xdr:cNvGrpSpPr/>
      </xdr:nvGrpSpPr>
      <xdr:grpSpPr>
        <a:xfrm>
          <a:off x="7655962" y="1532540"/>
          <a:ext cx="4491179" cy="2581274"/>
          <a:chOff x="7717194" y="1223477"/>
          <a:chExt cx="4526898" cy="2631815"/>
        </a:xfrm>
      </xdr:grpSpPr>
      <xdr:sp macro="" textlink="">
        <xdr:nvSpPr>
          <xdr:cNvPr id="41" name="Rectangle 40">
            <a:extLst>
              <a:ext uri="{FF2B5EF4-FFF2-40B4-BE49-F238E27FC236}">
                <a16:creationId xmlns:a16="http://schemas.microsoft.com/office/drawing/2014/main" id="{5FAC376F-B307-431D-8E4F-3967DE628210}"/>
              </a:ext>
            </a:extLst>
          </xdr:cNvPr>
          <xdr:cNvSpPr/>
        </xdr:nvSpPr>
        <xdr:spPr>
          <a:xfrm>
            <a:off x="7717194" y="1223477"/>
            <a:ext cx="4526898" cy="2631815"/>
          </a:xfrm>
          <a:prstGeom prst="rect">
            <a:avLst/>
          </a:prstGeom>
          <a:solidFill>
            <a:srgbClr val="C2E0D4"/>
          </a:solidFill>
          <a:ln>
            <a:solidFill>
              <a:srgbClr val="2F5A4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6" name="Chart 15">
            <a:extLst>
              <a:ext uri="{FF2B5EF4-FFF2-40B4-BE49-F238E27FC236}">
                <a16:creationId xmlns:a16="http://schemas.microsoft.com/office/drawing/2014/main" id="{F62E921A-A586-4F53-B461-80F4DCAD0878}"/>
              </a:ext>
            </a:extLst>
          </xdr:cNvPr>
          <xdr:cNvGraphicFramePr>
            <a:graphicFrameLocks/>
          </xdr:cNvGraphicFramePr>
        </xdr:nvGraphicFramePr>
        <xdr:xfrm>
          <a:off x="7804668" y="1312117"/>
          <a:ext cx="4364005" cy="2449286"/>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20</xdr:col>
      <xdr:colOff>68035</xdr:colOff>
      <xdr:row>8</xdr:row>
      <xdr:rowOff>8346</xdr:rowOff>
    </xdr:from>
    <xdr:to>
      <xdr:col>28</xdr:col>
      <xdr:colOff>208379</xdr:colOff>
      <xdr:row>21</xdr:row>
      <xdr:rowOff>103595</xdr:rowOff>
    </xdr:to>
    <xdr:grpSp>
      <xdr:nvGrpSpPr>
        <xdr:cNvPr id="93" name="Group 92">
          <a:extLst>
            <a:ext uri="{FF2B5EF4-FFF2-40B4-BE49-F238E27FC236}">
              <a16:creationId xmlns:a16="http://schemas.microsoft.com/office/drawing/2014/main" id="{651B1A02-38E1-C47B-1EB1-86F588069531}"/>
            </a:ext>
          </a:extLst>
        </xdr:cNvPr>
        <xdr:cNvGrpSpPr/>
      </xdr:nvGrpSpPr>
      <xdr:grpSpPr>
        <a:xfrm>
          <a:off x="12212410" y="1532346"/>
          <a:ext cx="4998094" cy="2571749"/>
          <a:chOff x="12314464" y="1233002"/>
          <a:chExt cx="5038915" cy="2622290"/>
        </a:xfrm>
      </xdr:grpSpPr>
      <xdr:sp macro="" textlink="">
        <xdr:nvSpPr>
          <xdr:cNvPr id="42" name="Rectangle 41">
            <a:extLst>
              <a:ext uri="{FF2B5EF4-FFF2-40B4-BE49-F238E27FC236}">
                <a16:creationId xmlns:a16="http://schemas.microsoft.com/office/drawing/2014/main" id="{655A15AD-13A0-472D-8AE4-B5FAA4E6B1DC}"/>
              </a:ext>
            </a:extLst>
          </xdr:cNvPr>
          <xdr:cNvSpPr/>
        </xdr:nvSpPr>
        <xdr:spPr>
          <a:xfrm>
            <a:off x="12314464" y="1233002"/>
            <a:ext cx="5038915" cy="2622290"/>
          </a:xfrm>
          <a:prstGeom prst="rect">
            <a:avLst/>
          </a:prstGeom>
          <a:solidFill>
            <a:srgbClr val="C2E0D4"/>
          </a:solidFill>
          <a:ln>
            <a:solidFill>
              <a:srgbClr val="2F5A4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7" name="Chart 16">
            <a:extLst>
              <a:ext uri="{FF2B5EF4-FFF2-40B4-BE49-F238E27FC236}">
                <a16:creationId xmlns:a16="http://schemas.microsoft.com/office/drawing/2014/main" id="{F34FC874-858D-42FA-97D2-0C7C8ADA8D9A}"/>
              </a:ext>
            </a:extLst>
          </xdr:cNvPr>
          <xdr:cNvGraphicFramePr>
            <a:graphicFrameLocks/>
          </xdr:cNvGraphicFramePr>
        </xdr:nvGraphicFramePr>
        <xdr:xfrm>
          <a:off x="12421378" y="1350994"/>
          <a:ext cx="4820816" cy="2420127"/>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4</xdr:col>
      <xdr:colOff>428623</xdr:colOff>
      <xdr:row>22</xdr:row>
      <xdr:rowOff>38278</xdr:rowOff>
    </xdr:from>
    <xdr:to>
      <xdr:col>19</xdr:col>
      <xdr:colOff>150395</xdr:colOff>
      <xdr:row>36</xdr:row>
      <xdr:rowOff>143054</xdr:rowOff>
    </xdr:to>
    <xdr:grpSp>
      <xdr:nvGrpSpPr>
        <xdr:cNvPr id="92" name="Group 91">
          <a:extLst>
            <a:ext uri="{FF2B5EF4-FFF2-40B4-BE49-F238E27FC236}">
              <a16:creationId xmlns:a16="http://schemas.microsoft.com/office/drawing/2014/main" id="{929C9CC9-D8CD-1FF9-9170-9E97D33F8076}"/>
            </a:ext>
          </a:extLst>
        </xdr:cNvPr>
        <xdr:cNvGrpSpPr/>
      </xdr:nvGrpSpPr>
      <xdr:grpSpPr>
        <a:xfrm>
          <a:off x="2857498" y="4229278"/>
          <a:ext cx="8830053" cy="2771776"/>
          <a:chOff x="2877909" y="3916330"/>
          <a:chExt cx="7308009" cy="2826204"/>
        </a:xfrm>
      </xdr:grpSpPr>
      <xdr:sp macro="" textlink="">
        <xdr:nvSpPr>
          <xdr:cNvPr id="45" name="Rectangle 44">
            <a:extLst>
              <a:ext uri="{FF2B5EF4-FFF2-40B4-BE49-F238E27FC236}">
                <a16:creationId xmlns:a16="http://schemas.microsoft.com/office/drawing/2014/main" id="{09BECB19-C837-4F19-A4F7-CC92DB97D528}"/>
              </a:ext>
            </a:extLst>
          </xdr:cNvPr>
          <xdr:cNvSpPr/>
        </xdr:nvSpPr>
        <xdr:spPr>
          <a:xfrm>
            <a:off x="2877909" y="3916330"/>
            <a:ext cx="7308009" cy="2826204"/>
          </a:xfrm>
          <a:prstGeom prst="rect">
            <a:avLst/>
          </a:prstGeom>
          <a:solidFill>
            <a:srgbClr val="C2E0D4"/>
          </a:solidFill>
          <a:ln>
            <a:solidFill>
              <a:srgbClr val="2F5A4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8" name="Chart 17">
            <a:extLst>
              <a:ext uri="{FF2B5EF4-FFF2-40B4-BE49-F238E27FC236}">
                <a16:creationId xmlns:a16="http://schemas.microsoft.com/office/drawing/2014/main" id="{8CBFFF55-9D39-4C99-8645-32C06EE3751E}"/>
              </a:ext>
            </a:extLst>
          </xdr:cNvPr>
          <xdr:cNvGraphicFramePr>
            <a:graphicFrameLocks/>
          </xdr:cNvGraphicFramePr>
        </xdr:nvGraphicFramePr>
        <xdr:xfrm>
          <a:off x="2993572" y="3945488"/>
          <a:ext cx="7095152" cy="27432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19</xdr:col>
      <xdr:colOff>330868</xdr:colOff>
      <xdr:row>22</xdr:row>
      <xdr:rowOff>38277</xdr:rowOff>
    </xdr:from>
    <xdr:to>
      <xdr:col>28</xdr:col>
      <xdr:colOff>204106</xdr:colOff>
      <xdr:row>36</xdr:row>
      <xdr:rowOff>143054</xdr:rowOff>
    </xdr:to>
    <xdr:sp macro="" textlink="">
      <xdr:nvSpPr>
        <xdr:cNvPr id="47" name="Rectangle 46">
          <a:extLst>
            <a:ext uri="{FF2B5EF4-FFF2-40B4-BE49-F238E27FC236}">
              <a16:creationId xmlns:a16="http://schemas.microsoft.com/office/drawing/2014/main" id="{D47E8535-7F9F-400E-AC82-5A24EAF0638D}"/>
            </a:ext>
          </a:extLst>
        </xdr:cNvPr>
        <xdr:cNvSpPr/>
      </xdr:nvSpPr>
      <xdr:spPr>
        <a:xfrm>
          <a:off x="11951368" y="4229277"/>
          <a:ext cx="5377685" cy="2771777"/>
        </a:xfrm>
        <a:prstGeom prst="rect">
          <a:avLst/>
        </a:prstGeom>
        <a:solidFill>
          <a:srgbClr val="C2E0D4"/>
        </a:solidFill>
        <a:ln>
          <a:solidFill>
            <a:srgbClr val="2F5A4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489064</xdr:colOff>
      <xdr:row>22</xdr:row>
      <xdr:rowOff>133426</xdr:rowOff>
    </xdr:from>
    <xdr:to>
      <xdr:col>28</xdr:col>
      <xdr:colOff>70185</xdr:colOff>
      <xdr:row>36</xdr:row>
      <xdr:rowOff>10026</xdr:rowOff>
    </xdr:to>
    <xdr:graphicFrame macro="">
      <xdr:nvGraphicFramePr>
        <xdr:cNvPr id="20" name="Chart 19">
          <a:extLst>
            <a:ext uri="{FF2B5EF4-FFF2-40B4-BE49-F238E27FC236}">
              <a16:creationId xmlns:a16="http://schemas.microsoft.com/office/drawing/2014/main" id="{46F9F27A-238A-4D6B-A712-ACE219A99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204107</xdr:colOff>
      <xdr:row>0</xdr:row>
      <xdr:rowOff>0</xdr:rowOff>
    </xdr:from>
    <xdr:to>
      <xdr:col>28</xdr:col>
      <xdr:colOff>195943</xdr:colOff>
      <xdr:row>7</xdr:row>
      <xdr:rowOff>0</xdr:rowOff>
    </xdr:to>
    <mc:AlternateContent xmlns:mc="http://schemas.openxmlformats.org/markup-compatibility/2006" xmlns:a14="http://schemas.microsoft.com/office/drawing/2010/main">
      <mc:Choice Requires="a14">
        <xdr:graphicFrame macro="">
          <xdr:nvGraphicFramePr>
            <xdr:cNvPr id="29" name="State 1">
              <a:extLst>
                <a:ext uri="{FF2B5EF4-FFF2-40B4-BE49-F238E27FC236}">
                  <a16:creationId xmlns:a16="http://schemas.microsoft.com/office/drawing/2014/main" id="{282169FD-3B91-41F6-B465-A0C1E208D0AA}"/>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5494239" y="0"/>
              <a:ext cx="1826651"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213828</xdr:colOff>
      <xdr:row>0</xdr:row>
      <xdr:rowOff>28768</xdr:rowOff>
    </xdr:from>
    <xdr:to>
      <xdr:col>25</xdr:col>
      <xdr:colOff>205663</xdr:colOff>
      <xdr:row>7</xdr:row>
      <xdr:rowOff>9720</xdr:rowOff>
    </xdr:to>
    <mc:AlternateContent xmlns:mc="http://schemas.openxmlformats.org/markup-compatibility/2006" xmlns:a14="http://schemas.microsoft.com/office/drawing/2010/main">
      <mc:Choice Requires="a14">
        <xdr:graphicFrame macro="">
          <xdr:nvGraphicFramePr>
            <xdr:cNvPr id="30" name="Department 1">
              <a:extLst>
                <a:ext uri="{FF2B5EF4-FFF2-40B4-BE49-F238E27FC236}">
                  <a16:creationId xmlns:a16="http://schemas.microsoft.com/office/drawing/2014/main" id="{9CFBFD50-32F8-4E34-B9E0-096D6BCBADC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3669144" y="28768"/>
              <a:ext cx="1826651" cy="13144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183815</xdr:colOff>
      <xdr:row>0</xdr:row>
      <xdr:rowOff>0</xdr:rowOff>
    </xdr:from>
    <xdr:to>
      <xdr:col>22</xdr:col>
      <xdr:colOff>207878</xdr:colOff>
      <xdr:row>7</xdr:row>
      <xdr:rowOff>0</xdr:rowOff>
    </xdr:to>
    <mc:AlternateContent xmlns:mc="http://schemas.openxmlformats.org/markup-compatibility/2006" xmlns:a14="http://schemas.microsoft.com/office/drawing/2010/main">
      <mc:Choice Requires="a14">
        <xdr:graphicFrame macro="">
          <xdr:nvGraphicFramePr>
            <xdr:cNvPr id="3" name="Month 2">
              <a:extLst>
                <a:ext uri="{FF2B5EF4-FFF2-40B4-BE49-F238E27FC236}">
                  <a16:creationId xmlns:a16="http://schemas.microsoft.com/office/drawing/2014/main" id="{9B1536F7-4784-4619-BC59-C194BAA4E734}"/>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1613815" y="0"/>
              <a:ext cx="1828800" cy="12867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5.564841666666" backgroundQuery="1" createdVersion="8" refreshedVersion="8" minRefreshableVersion="3" recordCount="0" supportSubquery="1" supportAdvancedDrill="1" xr:uid="{761DC7C6-8666-4C46-A0E8-2E825A3A85B7}">
  <cacheSource type="external" connectionId="4"/>
  <cacheFields count="5">
    <cacheField name="[Patient_Visits].[Payment_Method].[Payment_Method]" caption="Payment_Method" numFmtId="0" hierarchy="19" level="1">
      <sharedItems count="5">
        <s v="Bank Transfer"/>
        <s v="Cash"/>
        <s v="HMO"/>
        <s v="NHIS"/>
        <s v="POS"/>
      </sharedItems>
    </cacheField>
    <cacheField name="[Measures].[Average of Bill_Amount_NGN]" caption="Average of Bill_Amount_NGN" numFmtId="0" hierarchy="55" level="32767"/>
    <cacheField name="[Staff_Attendance].[Date].[Date]" caption="Date" numFmtId="0" hierarchy="41" level="1">
      <sharedItems containsSemiMixedTypes="0" containsNonDate="0" containsString="0"/>
    </cacheField>
    <cacheField name="[Patient_Visits].[Department].[Department]" caption="Department" numFmtId="0" hierarchy="8" level="1">
      <sharedItems containsSemiMixedTypes="0" containsNonDate="0" containsString="0"/>
    </cacheField>
    <cacheField name="[Patient_Visits].[State].[State]" caption="State" numFmtId="0" hierarchy="4" level="1">
      <sharedItems containsSemiMixedTypes="0" containsNonDate="0" containsString="0"/>
    </cacheField>
  </cacheFields>
  <cacheHierarchies count="57">
    <cacheHierarchy uniqueName="[Patient_Visits].[Patient_ID]" caption="Patient_ID" attribute="1" defaultMemberUniqueName="[Patient_Visits].[Patient_ID].[All]" allUniqueName="[Patient_Visits].[Patient_ID].[All]" dimensionUniqueName="[Patient_Visits]" displayFolder="" count="0" memberValueDatatype="130" unbalanced="0"/>
    <cacheHierarchy uniqueName="[Patient_Visits].[Patient_Name]" caption="Patient_Name" attribute="1" defaultMemberUniqueName="[Patient_Visits].[Patient_Name].[All]" allUniqueName="[Patient_Visits].[Patient_Name].[All]" dimensionUniqueName="[Patient_Visits]" displayFolder="" count="0" memberValueDatatype="130" unbalanced="0"/>
    <cacheHierarchy uniqueName="[Patient_Visits].[Age]" caption="Age" attribute="1" defaultMemberUniqueName="[Patient_Visits].[Age].[All]" allUniqueName="[Patient_Visits].[Age].[All]" dimensionUniqueName="[Patient_Visits]" displayFolder="" count="0" memberValueDatatype="20" unbalanced="0"/>
    <cacheHierarchy uniqueName="[Patient_Visits].[Gender]" caption="Gender" attribute="1" defaultMemberUniqueName="[Patient_Visits].[Gender].[All]" allUniqueName="[Patient_Visits].[Gender].[All]" dimensionUniqueName="[Patient_Visits]" displayFolder="" count="0" memberValueDatatype="130" unbalanced="0"/>
    <cacheHierarchy uniqueName="[Patient_Visits].[State]" caption="State" attribute="1" defaultMemberUniqueName="[Patient_Visits].[State].[All]" allUniqueName="[Patient_Visits].[State].[All]" dimensionUniqueName="[Patient_Visits]" displayFolder="" count="2" memberValueDatatype="130" unbalanced="0">
      <fieldsUsage count="2">
        <fieldUsage x="-1"/>
        <fieldUsage x="4"/>
      </fieldsUsage>
    </cacheHierarchy>
    <cacheHierarchy uniqueName="[Patient_Visits].[Visit_Date (Updated)]" caption="Visit_Date (Updated)" attribute="1" defaultMemberUniqueName="[Patient_Visits].[Visit_Date (Updated)].[All]" allUniqueName="[Patient_Visits].[Visit_Date (Updated)].[All]" dimensionUniqueName="[Patient_Visits]" displayFolder="" count="0" memberValueDatatype="130" unbalanced="0"/>
    <cacheHierarchy uniqueName="[Patient_Visits].[Column1]" caption="Column1" attribute="1" defaultMemberUniqueName="[Patient_Visits].[Column1].[All]" allUniqueName="[Patient_Visits].[Column1].[All]" dimensionUniqueName="[Patient_Visits]" displayFolder="" count="0" memberValueDatatype="130" unbalanced="0"/>
    <cacheHierarchy uniqueName="[Patient_Visits].[Month]" caption="Month" attribute="1" defaultMemberUniqueName="[Patient_Visits].[Month].[All]" allUniqueName="[Patient_Visits].[Month].[All]" dimensionUniqueName="[Patient_Visits]" displayFolder="" count="0" memberValueDatatype="130" unbalanced="0"/>
    <cacheHierarchy uniqueName="[Patient_Visits].[Department]" caption="Department" attribute="1" defaultMemberUniqueName="[Patient_Visits].[Department].[All]" allUniqueName="[Patient_Visits].[Department].[All]" dimensionUniqueName="[Patient_Visits]" displayFolder="" count="2" memberValueDatatype="130" unbalanced="0">
      <fieldsUsage count="2">
        <fieldUsage x="-1"/>
        <fieldUsage x="3"/>
      </fieldsUsage>
    </cacheHierarchy>
    <cacheHierarchy uniqueName="[Patient_Visits].[Doctor_Name]" caption="Doctor_Name" attribute="1" defaultMemberUniqueName="[Patient_Visits].[Doctor_Name].[All]" allUniqueName="[Patient_Visits].[Doctor_Name].[All]" dimensionUniqueName="[Patient_Visits]" displayFolder="" count="0" memberValueDatatype="130" unbalanced="0"/>
    <cacheHierarchy uniqueName="[Patient_Visits].[Diagnosis]" caption="Diagnosis" attribute="1" defaultMemberUniqueName="[Patient_Visits].[Diagnosis].[All]" allUniqueName="[Patient_Visits].[Diagnosis].[All]" dimensionUniqueName="[Patient_Visits]" displayFolder="" count="0" memberValueDatatype="130" unbalanced="0"/>
    <cacheHierarchy uniqueName="[Patient_Visits].[Visit_Type]" caption="Visit_Type" attribute="1" defaultMemberUniqueName="[Patient_Visits].[Visit_Type].[All]" allUniqueName="[Patient_Visits].[Visit_Type].[All]" dimensionUniqueName="[Patient_Visits]" displayFolder="" count="0" memberValueDatatype="130" unbalanced="0"/>
    <cacheHierarchy uniqueName="[Patient_Visits].[Blood_Pressure (Updated)]" caption="Blood_Pressure (Updated)" attribute="1" defaultMemberUniqueName="[Patient_Visits].[Blood_Pressure (Updated)].[All]" allUniqueName="[Patient_Visits].[Blood_Pressure (Updated)].[All]" dimensionUniqueName="[Patient_Visits]" displayFolder="" count="0" memberValueDatatype="130" unbalanced="0"/>
    <cacheHierarchy uniqueName="[Patient_Visits].[Heart_Rate_bpm]" caption="Heart_Rate_bpm" attribute="1" defaultMemberUniqueName="[Patient_Visits].[Heart_Rate_bpm].[All]" allUniqueName="[Patient_Visits].[Heart_Rate_bpm].[All]" dimensionUniqueName="[Patient_Visits]" displayFolder="" count="0" memberValueDatatype="20" unbalanced="0"/>
    <cacheHierarchy uniqueName="[Patient_Visits].[Body_Temp (Celsius)]" caption="Body_Temp (Celsius)" attribute="1" defaultMemberUniqueName="[Patient_Visits].[Body_Temp (Celsius)].[All]" allUniqueName="[Patient_Visits].[Body_Temp (Celsius)].[All]" dimensionUniqueName="[Patient_Visits]" displayFolder="" count="0" memberValueDatatype="5" unbalanced="0"/>
    <cacheHierarchy uniqueName="[Patient_Visits].[Body_Temp_C]" caption="Body_Temp_C" attribute="1" defaultMemberUniqueName="[Patient_Visits].[Body_Temp_C].[All]" allUniqueName="[Patient_Visits].[Body_Temp_C].[All]" dimensionUniqueName="[Patient_Visits]" displayFolder="" count="0" memberValueDatatype="5" unbalanced="0"/>
    <cacheHierarchy uniqueName="[Patient_Visits].[Weight_kg]" caption="Weight_kg" attribute="1" defaultMemberUniqueName="[Patient_Visits].[Weight_kg].[All]" allUniqueName="[Patient_Visits].[Weight_kg].[All]" dimensionUniqueName="[Patient_Visits]" displayFolder="" count="0" memberValueDatatype="5" unbalanced="0"/>
    <cacheHierarchy uniqueName="[Patient_Visits].[Height_cm]" caption="Height_cm" attribute="1" defaultMemberUniqueName="[Patient_Visits].[Height_cm].[All]" allUniqueName="[Patient_Visits].[Height_cm].[All]" dimensionUniqueName="[Patient_Visits]" displayFolder="" count="0" memberValueDatatype="20" unbalanced="0"/>
    <cacheHierarchy uniqueName="[Patient_Visits].[BMI]" caption="BMI" attribute="1" defaultMemberUniqueName="[Patient_Visits].[BMI].[All]" allUniqueName="[Patient_Visits].[BMI].[All]" dimensionUniqueName="[Patient_Visits]" displayFolder="" count="0" memberValueDatatype="5" unbalanced="0"/>
    <cacheHierarchy uniqueName="[Patient_Visits].[Payment_Method]" caption="Payment_Method" attribute="1" defaultMemberUniqueName="[Patient_Visits].[Payment_Method].[All]" allUniqueName="[Patient_Visits].[Payment_Method].[All]" dimensionUniqueName="[Patient_Visits]" displayFolder="" count="2" memberValueDatatype="130" unbalanced="0">
      <fieldsUsage count="2">
        <fieldUsage x="-1"/>
        <fieldUsage x="0"/>
      </fieldsUsage>
    </cacheHierarchy>
    <cacheHierarchy uniqueName="[Patient_Visits].[Bill_Amount_NGN]" caption="Bill_Amount_NGN" attribute="1" defaultMemberUniqueName="[Patient_Visits].[Bill_Amount_NGN].[All]" allUniqueName="[Patient_Visits].[Bill_Amount_NGN].[All]" dimensionUniqueName="[Patient_Visits]" displayFolder="" count="0" memberValueDatatype="20" unbalanced="0"/>
    <cacheHierarchy uniqueName="[Patient_Visits].[Payment_Status (Updated)]" caption="Payment_Status (Updated)" attribute="1" defaultMemberUniqueName="[Patient_Visits].[Payment_Status (Updated)].[All]" allUniqueName="[Patient_Visits].[Payment_Status (Updated)].[All]" dimensionUniqueName="[Patient_Visits]" displayFolder="" count="0" memberValueDatatype="130" unbalanced="0"/>
    <cacheHierarchy uniqueName="[Patient_Visits].[Follow_Up_Needed]" caption="Follow_Up_Needed" attribute="1" defaultMemberUniqueName="[Patient_Visits].[Follow_Up_Needed].[All]" allUniqueName="[Patient_Visits].[Follow_Up_Needed].[All]" dimensionUniqueName="[Patient_Visits]" displayFolder="" count="0" memberValueDatatype="130" unbalanced="0"/>
    <cacheHierarchy uniqueName="[Pharmacy_Sales].[Sale_ID]" caption="Sale_ID" attribute="1" defaultMemberUniqueName="[Pharmacy_Sales].[Sale_ID].[All]" allUniqueName="[Pharmacy_Sales].[Sale_ID].[All]" dimensionUniqueName="[Pharmacy_Sales]" displayFolder="" count="0" memberValueDatatype="130" unbalanced="0"/>
    <cacheHierarchy uniqueName="[Pharmacy_Sales].[Patient_ID]" caption="Patient_ID" attribute="1" defaultMemberUniqueName="[Pharmacy_Sales].[Patient_ID].[All]" allUniqueName="[Pharmacy_Sales].[Patient_ID].[All]" dimensionUniqueName="[Pharmacy_Sales]" displayFolder="" count="0" memberValueDatatype="130" unbalanced="0"/>
    <cacheHierarchy uniqueName="[Pharmacy_Sales].[Sale_Date (Updated)]" caption="Sale_Date (Updated)" attribute="1" time="1" defaultMemberUniqueName="[Pharmacy_Sales].[Sale_Date (Updated)].[All]" allUniqueName="[Pharmacy_Sales].[Sale_Date (Updated)].[All]" dimensionUniqueName="[Pharmacy_Sales]" displayFolder="" count="0" memberValueDatatype="7" unbalanced="0"/>
    <cacheHierarchy uniqueName="[Pharmacy_Sales].[Drug_Name]" caption="Drug_Name" attribute="1" defaultMemberUniqueName="[Pharmacy_Sales].[Drug_Name].[All]" allUniqueName="[Pharmacy_Sales].[Drug_Name].[All]" dimensionUniqueName="[Pharmacy_Sales]" displayFolder="" count="0" memberValueDatatype="130" unbalanced="0"/>
    <cacheHierarchy uniqueName="[Pharmacy_Sales].[Quantity_Sold]" caption="Quantity_Sold" attribute="1" defaultMemberUniqueName="[Pharmacy_Sales].[Quantity_Sold].[All]" allUniqueName="[Pharmacy_Sales].[Quantity_Sold].[All]" dimensionUniqueName="[Pharmacy_Sales]" displayFolder="" count="0" memberValueDatatype="20" unbalanced="0"/>
    <cacheHierarchy uniqueName="[Pharmacy_Sales].[Unit_Price_NGN]" caption="Unit_Price_NGN" attribute="1" defaultMemberUniqueName="[Pharmacy_Sales].[Unit_Price_NGN].[All]" allUniqueName="[Pharmacy_Sales].[Unit_Price_NGN].[All]" dimensionUniqueName="[Pharmacy_Sales]" displayFolder="" count="0" memberValueDatatype="20" unbalanced="0"/>
    <cacheHierarchy uniqueName="[Pharmacy_Sales].[Total_Price_NGN (Updated)]" caption="Total_Price_NGN (Updated)" attribute="1" defaultMemberUniqueName="[Pharmacy_Sales].[Total_Price_NGN (Updated)].[All]" allUniqueName="[Pharmacy_Sales].[Total_Price_NGN (Updated)].[All]" dimensionUniqueName="[Pharmacy_Sales]" displayFolder="" count="0" memberValueDatatype="20" unbalanced="0"/>
    <cacheHierarchy uniqueName="[Pharmacy_Sales].[Pharmacist]" caption="Pharmacist" attribute="1" defaultMemberUniqueName="[Pharmacy_Sales].[Pharmacist].[All]" allUniqueName="[Pharmacy_Sales].[Pharmacist].[All]" dimensionUniqueName="[Pharmacy_Sales]" displayFolder="" count="0" memberValueDatatype="130" unbalanced="0"/>
    <cacheHierarchy uniqueName="[Pharmacy_Sales].[Prescription_Required]" caption="Prescription_Required" attribute="1" defaultMemberUniqueName="[Pharmacy_Sales].[Prescription_Required].[All]" allUniqueName="[Pharmacy_Sales].[Prescription_Required].[All]" dimensionUniqueName="[Pharmacy_Sales]" displayFolder="" count="0" memberValueDatatype="130" unbalanced="0"/>
    <cacheHierarchy uniqueName="[Pharmacy_Sales].[Prescription_Provided]" caption="Prescription_Provided" attribute="1" defaultMemberUniqueName="[Pharmacy_Sales].[Prescription_Provided].[All]" allUniqueName="[Pharmacy_Sales].[Prescription_Provided].[All]" dimensionUniqueName="[Pharmacy_Sales]" displayFolder="" count="0" memberValueDatatype="130" unbalanced="0"/>
    <cacheHierarchy uniqueName="[Pharmacy_Sales].[Prescription_Compliance]" caption="Prescription_Compliance" attribute="1" defaultMemberUniqueName="[Pharmacy_Sales].[Prescription_Compliance].[All]" allUniqueName="[Pharmacy_Sales].[Prescription_Compliance].[All]" dimensionUniqueName="[Pharmacy_Sales]" displayFolder="" count="0" memberValueDatatype="130" unbalanced="0"/>
    <cacheHierarchy uniqueName="[Pharmacy_Sales].[Stock_After_Sale]" caption="Stock_After_Sale" attribute="1" defaultMemberUniqueName="[Pharmacy_Sales].[Stock_After_Sale].[All]" allUniqueName="[Pharmacy_Sales].[Stock_After_Sale].[All]" dimensionUniqueName="[Pharmacy_Sales]" displayFolder="" count="0" memberValueDatatype="20" unbalanced="0"/>
    <cacheHierarchy uniqueName="[Pharmacy_Sales].[Expiry_Date]" caption="Expiry_Date" attribute="1" time="1" defaultMemberUniqueName="[Pharmacy_Sales].[Expiry_Date].[All]" allUniqueName="[Pharmacy_Sales].[Expiry_Date].[All]" dimensionUniqueName="[Pharmacy_Sales]" displayFolder="" count="0" memberValueDatatype="7" unbalanced="0"/>
    <cacheHierarchy uniqueName="[Pharmacy_Sales].[Expiry_Drug_Sold]" caption="Expiry_Drug_Sold" attribute="1" defaultMemberUniqueName="[Pharmacy_Sales].[Expiry_Drug_Sold].[All]" allUniqueName="[Pharmacy_Sales].[Expiry_Drug_Sold].[All]" dimensionUniqueName="[Pharmacy_Sales]" displayFolder="" count="0" memberValueDatatype="130" unbalanced="0"/>
    <cacheHierarchy uniqueName="[Staff_Attendance].[Record_ID]" caption="Record_ID" attribute="1" defaultMemberUniqueName="[Staff_Attendance].[Record_ID].[All]" allUniqueName="[Staff_Attendance].[Record_ID].[All]" dimensionUniqueName="[Staff_Attendance]" displayFolder="" count="0" memberValueDatatype="130" unbalanced="0"/>
    <cacheHierarchy uniqueName="[Staff_Attendance].[Staff_Name]" caption="Staff_Name" attribute="1" defaultMemberUniqueName="[Staff_Attendance].[Staff_Name].[All]" allUniqueName="[Staff_Attendance].[Staff_Name].[All]" dimensionUniqueName="[Staff_Attendance]" displayFolder="" count="0" memberValueDatatype="130" unbalanced="0"/>
    <cacheHierarchy uniqueName="[Staff_Attendance].[Staff_Role]" caption="Staff_Role" attribute="1" defaultMemberUniqueName="[Staff_Attendance].[Staff_Role].[All]" allUniqueName="[Staff_Attendance].[Staff_Role].[All]" dimensionUniqueName="[Staff_Attendance]" displayFolder="" count="0" memberValueDatatype="130" unbalanced="0"/>
    <cacheHierarchy uniqueName="[Staff_Attendance].[Department]" caption="Department" attribute="1" defaultMemberUniqueName="[Staff_Attendance].[Department].[All]" allUniqueName="[Staff_Attendance].[Department].[All]" dimensionUniqueName="[Staff_Attendance]" displayFolder="" count="0" memberValueDatatype="130" unbalanced="0"/>
    <cacheHierarchy uniqueName="[Staff_Attendance].[Date]" caption="Date" attribute="1" time="1" defaultMemberUniqueName="[Staff_Attendance].[Date].[All]" allUniqueName="[Staff_Attendance].[Date].[All]" dimensionUniqueName="[Staff_Attendance]" displayFolder="" count="2" memberValueDatatype="7" unbalanced="0">
      <fieldsUsage count="2">
        <fieldUsage x="-1"/>
        <fieldUsage x="2"/>
      </fieldsUsage>
    </cacheHierarchy>
    <cacheHierarchy uniqueName="[Staff_Attendance].[Clock_In (Updated)]" caption="Clock_In (Updated)" attribute="1" time="1" defaultMemberUniqueName="[Staff_Attendance].[Clock_In (Updated)].[All]" allUniqueName="[Staff_Attendance].[Clock_In (Updated)].[All]" dimensionUniqueName="[Staff_Attendance]" displayFolder="" count="0" memberValueDatatype="7" unbalanced="0"/>
    <cacheHierarchy uniqueName="[Staff_Attendance].[Clock_Out (Updated)]" caption="Clock_Out (Updated)" attribute="1" time="1" defaultMemberUniqueName="[Staff_Attendance].[Clock_Out (Updated)].[All]" allUniqueName="[Staff_Attendance].[Clock_Out (Updated)].[All]" dimensionUniqueName="[Staff_Attendance]" displayFolder="" count="0" memberValueDatatype="7" unbalanced="0"/>
    <cacheHierarchy uniqueName="[Staff_Attendance].[Hours_Worked (Updated)]" caption="Hours_Worked (Updated)" attribute="1" defaultMemberUniqueName="[Staff_Attendance].[Hours_Worked (Updated)].[All]" allUniqueName="[Staff_Attendance].[Hours_Worked (Updated)].[All]" dimensionUniqueName="[Staff_Attendance]" displayFolder="" count="0" memberValueDatatype="20" unbalanced="0"/>
    <cacheHierarchy uniqueName="[Staff_Attendance].[Shift_Type (Updated)]" caption="Shift_Type (Updated)" attribute="1" defaultMemberUniqueName="[Staff_Attendance].[Shift_Type (Updated)].[All]" allUniqueName="[Staff_Attendance].[Shift_Type (Updated)].[All]" dimensionUniqueName="[Staff_Attendance]" displayFolder="" count="0" memberValueDatatype="130" unbalanced="0"/>
    <cacheHierarchy uniqueName="[Staff_Attendance].[Attendance_Status (Updated)]" caption="Attendance_Status (Updated)" attribute="1" defaultMemberUniqueName="[Staff_Attendance].[Attendance_Status (Updated)].[All]" allUniqueName="[Staff_Attendance].[Attendance_Status (Updated)].[All]" dimensionUniqueName="[Staff_Attendance]" displayFolder="" count="0" memberValueDatatype="130" unbalanced="0"/>
    <cacheHierarchy uniqueName="[Measures].[__XL_Count Pharmacy_Sales]" caption="__XL_Count Pharmacy_Sales" measure="1" displayFolder="" measureGroup="Pharmacy_Sales" count="0" hidden="1"/>
    <cacheHierarchy uniqueName="[Measures].[__XL_Count Patient_Visits]" caption="__XL_Count Patient_Visits" measure="1" displayFolder="" measureGroup="Patient_Visits" count="0" hidden="1"/>
    <cacheHierarchy uniqueName="[Measures].[__XL_Count Staff_Attendance]" caption="__XL_Count Staff_Attendance" measure="1" displayFolder="" measureGroup="Staff_Attendance" count="0" hidden="1"/>
    <cacheHierarchy uniqueName="[Measures].[__No measures defined]" caption="__No measures defined" measure="1" displayFolder="" count="0" hidden="1"/>
    <cacheHierarchy uniqueName="[Measures].[Count of Patient_ID 2]" caption="Count of Patient_ID 2" measure="1" displayFolder="" measureGroup="Pharmacy_Sales" count="0" hidden="1">
      <extLst>
        <ext xmlns:x15="http://schemas.microsoft.com/office/spreadsheetml/2010/11/main" uri="{B97F6D7D-B522-45F9-BDA1-12C45D357490}">
          <x15:cacheHierarchy aggregatedColumn="24"/>
        </ext>
      </extLst>
    </cacheHierarchy>
    <cacheHierarchy uniqueName="[Measures].[Count of Visit_Date (Updated)]" caption="Count of Visit_Date (Updated)" measure="1" displayFolder="" measureGroup="Patient_Visits" count="0" hidden="1">
      <extLst>
        <ext xmlns:x15="http://schemas.microsoft.com/office/spreadsheetml/2010/11/main" uri="{B97F6D7D-B522-45F9-BDA1-12C45D357490}">
          <x15:cacheHierarchy aggregatedColumn="5"/>
        </ext>
      </extLst>
    </cacheHierarchy>
    <cacheHierarchy uniqueName="[Measures].[Count of Patient_ID]" caption="Count of Patient_ID" measure="1" displayFolder="" measureGroup="Patient_Visits" count="0" hidden="1">
      <extLst>
        <ext xmlns:x15="http://schemas.microsoft.com/office/spreadsheetml/2010/11/main" uri="{B97F6D7D-B522-45F9-BDA1-12C45D357490}">
          <x15:cacheHierarchy aggregatedColumn="0"/>
        </ext>
      </extLst>
    </cacheHierarchy>
    <cacheHierarchy uniqueName="[Measures].[Sum of Bill_Amount_NGN]" caption="Sum of Bill_Amount_NGN" measure="1" displayFolder="" measureGroup="Patient_Visits" count="0" hidden="1">
      <extLst>
        <ext xmlns:x15="http://schemas.microsoft.com/office/spreadsheetml/2010/11/main" uri="{B97F6D7D-B522-45F9-BDA1-12C45D357490}">
          <x15:cacheHierarchy aggregatedColumn="20"/>
        </ext>
      </extLst>
    </cacheHierarchy>
    <cacheHierarchy uniqueName="[Measures].[Average of Bill_Amount_NGN]" caption="Average of Bill_Amount_NGN" measure="1" displayFolder="" measureGroup="Patient_Visit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Total_Price_NGN (Updated)]" caption="Sum of Total_Price_NGN (Updated)" measure="1" displayFolder="" measureGroup="Pharmacy_Sales" count="0" hidden="1">
      <extLst>
        <ext xmlns:x15="http://schemas.microsoft.com/office/spreadsheetml/2010/11/main" uri="{B97F6D7D-B522-45F9-BDA1-12C45D357490}">
          <x15:cacheHierarchy aggregatedColumn="29"/>
        </ext>
      </extLst>
    </cacheHierarchy>
  </cacheHierarchies>
  <kpis count="0"/>
  <dimensions count="4">
    <dimension measure="1" name="Measures" uniqueName="[Measures]" caption="Measures"/>
    <dimension name="Patient_Visits" uniqueName="[Patient_Visits]" caption="Patient_Visits"/>
    <dimension name="Pharmacy_Sales" uniqueName="[Pharmacy_Sales]" caption="Pharmacy_Sales"/>
    <dimension name="Staff_Attendance" uniqueName="[Staff_Attendance]" caption="Staff_Attendance"/>
  </dimensions>
  <measureGroups count="3">
    <measureGroup name="Patient_Visits" caption="Patient_Visits"/>
    <measureGroup name="Pharmacy_Sales" caption="Pharmacy_Sales"/>
    <measureGroup name="Staff_Attendance" caption="Staff_Attendance"/>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5.564844097222" backgroundQuery="1" createdVersion="8" refreshedVersion="8" minRefreshableVersion="3" recordCount="0" supportSubquery="1" supportAdvancedDrill="1" xr:uid="{B752B85A-EAD3-4FBD-AD92-B6F87D3AD743}">
  <cacheSource type="external" connectionId="4"/>
  <cacheFields count="5">
    <cacheField name="[Patient_Visits].[Follow_Up_Needed].[Follow_Up_Needed]" caption="Follow_Up_Needed" numFmtId="0" hierarchy="22" level="1">
      <sharedItems count="2">
        <s v="No"/>
        <s v="Yes"/>
      </sharedItems>
    </cacheField>
    <cacheField name="[Measures].[Count of Patient_ID]" caption="Count of Patient_ID" numFmtId="0" hierarchy="53" level="32767"/>
    <cacheField name="[Staff_Attendance].[Date].[Date]" caption="Date" numFmtId="0" hierarchy="41" level="1">
      <sharedItems containsSemiMixedTypes="0" containsNonDate="0" containsString="0"/>
    </cacheField>
    <cacheField name="[Patient_Visits].[Department].[Department]" caption="Department" numFmtId="0" hierarchy="8" level="1">
      <sharedItems containsSemiMixedTypes="0" containsNonDate="0" containsString="0"/>
    </cacheField>
    <cacheField name="[Patient_Visits].[State].[State]" caption="State" numFmtId="0" hierarchy="4" level="1">
      <sharedItems containsSemiMixedTypes="0" containsNonDate="0" containsString="0"/>
    </cacheField>
  </cacheFields>
  <cacheHierarchies count="57">
    <cacheHierarchy uniqueName="[Patient_Visits].[Patient_ID]" caption="Patient_ID" attribute="1" defaultMemberUniqueName="[Patient_Visits].[Patient_ID].[All]" allUniqueName="[Patient_Visits].[Patient_ID].[All]" dimensionUniqueName="[Patient_Visits]" displayFolder="" count="0" memberValueDatatype="130" unbalanced="0"/>
    <cacheHierarchy uniqueName="[Patient_Visits].[Patient_Name]" caption="Patient_Name" attribute="1" defaultMemberUniqueName="[Patient_Visits].[Patient_Name].[All]" allUniqueName="[Patient_Visits].[Patient_Name].[All]" dimensionUniqueName="[Patient_Visits]" displayFolder="" count="0" memberValueDatatype="130" unbalanced="0"/>
    <cacheHierarchy uniqueName="[Patient_Visits].[Age]" caption="Age" attribute="1" defaultMemberUniqueName="[Patient_Visits].[Age].[All]" allUniqueName="[Patient_Visits].[Age].[All]" dimensionUniqueName="[Patient_Visits]" displayFolder="" count="0" memberValueDatatype="20" unbalanced="0"/>
    <cacheHierarchy uniqueName="[Patient_Visits].[Gender]" caption="Gender" attribute="1" defaultMemberUniqueName="[Patient_Visits].[Gender].[All]" allUniqueName="[Patient_Visits].[Gender].[All]" dimensionUniqueName="[Patient_Visits]" displayFolder="" count="0" memberValueDatatype="130" unbalanced="0"/>
    <cacheHierarchy uniqueName="[Patient_Visits].[State]" caption="State" attribute="1" defaultMemberUniqueName="[Patient_Visits].[State].[All]" allUniqueName="[Patient_Visits].[State].[All]" dimensionUniqueName="[Patient_Visits]" displayFolder="" count="2" memberValueDatatype="130" unbalanced="0">
      <fieldsUsage count="2">
        <fieldUsage x="-1"/>
        <fieldUsage x="4"/>
      </fieldsUsage>
    </cacheHierarchy>
    <cacheHierarchy uniqueName="[Patient_Visits].[Visit_Date (Updated)]" caption="Visit_Date (Updated)" attribute="1" defaultMemberUniqueName="[Patient_Visits].[Visit_Date (Updated)].[All]" allUniqueName="[Patient_Visits].[Visit_Date (Updated)].[All]" dimensionUniqueName="[Patient_Visits]" displayFolder="" count="0" memberValueDatatype="130" unbalanced="0"/>
    <cacheHierarchy uniqueName="[Patient_Visits].[Column1]" caption="Column1" attribute="1" defaultMemberUniqueName="[Patient_Visits].[Column1].[All]" allUniqueName="[Patient_Visits].[Column1].[All]" dimensionUniqueName="[Patient_Visits]" displayFolder="" count="0" memberValueDatatype="130" unbalanced="0"/>
    <cacheHierarchy uniqueName="[Patient_Visits].[Month]" caption="Month" attribute="1" defaultMemberUniqueName="[Patient_Visits].[Month].[All]" allUniqueName="[Patient_Visits].[Month].[All]" dimensionUniqueName="[Patient_Visits]" displayFolder="" count="0" memberValueDatatype="130" unbalanced="0"/>
    <cacheHierarchy uniqueName="[Patient_Visits].[Department]" caption="Department" attribute="1" defaultMemberUniqueName="[Patient_Visits].[Department].[All]" allUniqueName="[Patient_Visits].[Department].[All]" dimensionUniqueName="[Patient_Visits]" displayFolder="" count="2" memberValueDatatype="130" unbalanced="0">
      <fieldsUsage count="2">
        <fieldUsage x="-1"/>
        <fieldUsage x="3"/>
      </fieldsUsage>
    </cacheHierarchy>
    <cacheHierarchy uniqueName="[Patient_Visits].[Doctor_Name]" caption="Doctor_Name" attribute="1" defaultMemberUniqueName="[Patient_Visits].[Doctor_Name].[All]" allUniqueName="[Patient_Visits].[Doctor_Name].[All]" dimensionUniqueName="[Patient_Visits]" displayFolder="" count="0" memberValueDatatype="130" unbalanced="0"/>
    <cacheHierarchy uniqueName="[Patient_Visits].[Diagnosis]" caption="Diagnosis" attribute="1" defaultMemberUniqueName="[Patient_Visits].[Diagnosis].[All]" allUniqueName="[Patient_Visits].[Diagnosis].[All]" dimensionUniqueName="[Patient_Visits]" displayFolder="" count="0" memberValueDatatype="130" unbalanced="0"/>
    <cacheHierarchy uniqueName="[Patient_Visits].[Visit_Type]" caption="Visit_Type" attribute="1" defaultMemberUniqueName="[Patient_Visits].[Visit_Type].[All]" allUniqueName="[Patient_Visits].[Visit_Type].[All]" dimensionUniqueName="[Patient_Visits]" displayFolder="" count="0" memberValueDatatype="130" unbalanced="0"/>
    <cacheHierarchy uniqueName="[Patient_Visits].[Blood_Pressure (Updated)]" caption="Blood_Pressure (Updated)" attribute="1" defaultMemberUniqueName="[Patient_Visits].[Blood_Pressure (Updated)].[All]" allUniqueName="[Patient_Visits].[Blood_Pressure (Updated)].[All]" dimensionUniqueName="[Patient_Visits]" displayFolder="" count="0" memberValueDatatype="130" unbalanced="0"/>
    <cacheHierarchy uniqueName="[Patient_Visits].[Heart_Rate_bpm]" caption="Heart_Rate_bpm" attribute="1" defaultMemberUniqueName="[Patient_Visits].[Heart_Rate_bpm].[All]" allUniqueName="[Patient_Visits].[Heart_Rate_bpm].[All]" dimensionUniqueName="[Patient_Visits]" displayFolder="" count="0" memberValueDatatype="20" unbalanced="0"/>
    <cacheHierarchy uniqueName="[Patient_Visits].[Body_Temp (Celsius)]" caption="Body_Temp (Celsius)" attribute="1" defaultMemberUniqueName="[Patient_Visits].[Body_Temp (Celsius)].[All]" allUniqueName="[Patient_Visits].[Body_Temp (Celsius)].[All]" dimensionUniqueName="[Patient_Visits]" displayFolder="" count="0" memberValueDatatype="5" unbalanced="0"/>
    <cacheHierarchy uniqueName="[Patient_Visits].[Body_Temp_C]" caption="Body_Temp_C" attribute="1" defaultMemberUniqueName="[Patient_Visits].[Body_Temp_C].[All]" allUniqueName="[Patient_Visits].[Body_Temp_C].[All]" dimensionUniqueName="[Patient_Visits]" displayFolder="" count="0" memberValueDatatype="5" unbalanced="0"/>
    <cacheHierarchy uniqueName="[Patient_Visits].[Weight_kg]" caption="Weight_kg" attribute="1" defaultMemberUniqueName="[Patient_Visits].[Weight_kg].[All]" allUniqueName="[Patient_Visits].[Weight_kg].[All]" dimensionUniqueName="[Patient_Visits]" displayFolder="" count="0" memberValueDatatype="5" unbalanced="0"/>
    <cacheHierarchy uniqueName="[Patient_Visits].[Height_cm]" caption="Height_cm" attribute="1" defaultMemberUniqueName="[Patient_Visits].[Height_cm].[All]" allUniqueName="[Patient_Visits].[Height_cm].[All]" dimensionUniqueName="[Patient_Visits]" displayFolder="" count="0" memberValueDatatype="20" unbalanced="0"/>
    <cacheHierarchy uniqueName="[Patient_Visits].[BMI]" caption="BMI" attribute="1" defaultMemberUniqueName="[Patient_Visits].[BMI].[All]" allUniqueName="[Patient_Visits].[BMI].[All]" dimensionUniqueName="[Patient_Visits]" displayFolder="" count="0" memberValueDatatype="5" unbalanced="0"/>
    <cacheHierarchy uniqueName="[Patient_Visits].[Payment_Method]" caption="Payment_Method" attribute="1" defaultMemberUniqueName="[Patient_Visits].[Payment_Method].[All]" allUniqueName="[Patient_Visits].[Payment_Method].[All]" dimensionUniqueName="[Patient_Visits]" displayFolder="" count="0" memberValueDatatype="130" unbalanced="0"/>
    <cacheHierarchy uniqueName="[Patient_Visits].[Bill_Amount_NGN]" caption="Bill_Amount_NGN" attribute="1" defaultMemberUniqueName="[Patient_Visits].[Bill_Amount_NGN].[All]" allUniqueName="[Patient_Visits].[Bill_Amount_NGN].[All]" dimensionUniqueName="[Patient_Visits]" displayFolder="" count="0" memberValueDatatype="20" unbalanced="0"/>
    <cacheHierarchy uniqueName="[Patient_Visits].[Payment_Status (Updated)]" caption="Payment_Status (Updated)" attribute="1" defaultMemberUniqueName="[Patient_Visits].[Payment_Status (Updated)].[All]" allUniqueName="[Patient_Visits].[Payment_Status (Updated)].[All]" dimensionUniqueName="[Patient_Visits]" displayFolder="" count="0" memberValueDatatype="130" unbalanced="0"/>
    <cacheHierarchy uniqueName="[Patient_Visits].[Follow_Up_Needed]" caption="Follow_Up_Needed" attribute="1" defaultMemberUniqueName="[Patient_Visits].[Follow_Up_Needed].[All]" allUniqueName="[Patient_Visits].[Follow_Up_Needed].[All]" dimensionUniqueName="[Patient_Visits]" displayFolder="" count="2" memberValueDatatype="130" unbalanced="0">
      <fieldsUsage count="2">
        <fieldUsage x="-1"/>
        <fieldUsage x="0"/>
      </fieldsUsage>
    </cacheHierarchy>
    <cacheHierarchy uniqueName="[Pharmacy_Sales].[Sale_ID]" caption="Sale_ID" attribute="1" defaultMemberUniqueName="[Pharmacy_Sales].[Sale_ID].[All]" allUniqueName="[Pharmacy_Sales].[Sale_ID].[All]" dimensionUniqueName="[Pharmacy_Sales]" displayFolder="" count="0" memberValueDatatype="130" unbalanced="0"/>
    <cacheHierarchy uniqueName="[Pharmacy_Sales].[Patient_ID]" caption="Patient_ID" attribute="1" defaultMemberUniqueName="[Pharmacy_Sales].[Patient_ID].[All]" allUniqueName="[Pharmacy_Sales].[Patient_ID].[All]" dimensionUniqueName="[Pharmacy_Sales]" displayFolder="" count="0" memberValueDatatype="130" unbalanced="0"/>
    <cacheHierarchy uniqueName="[Pharmacy_Sales].[Sale_Date (Updated)]" caption="Sale_Date (Updated)" attribute="1" time="1" defaultMemberUniqueName="[Pharmacy_Sales].[Sale_Date (Updated)].[All]" allUniqueName="[Pharmacy_Sales].[Sale_Date (Updated)].[All]" dimensionUniqueName="[Pharmacy_Sales]" displayFolder="" count="0" memberValueDatatype="7" unbalanced="0"/>
    <cacheHierarchy uniqueName="[Pharmacy_Sales].[Drug_Name]" caption="Drug_Name" attribute="1" defaultMemberUniqueName="[Pharmacy_Sales].[Drug_Name].[All]" allUniqueName="[Pharmacy_Sales].[Drug_Name].[All]" dimensionUniqueName="[Pharmacy_Sales]" displayFolder="" count="0" memberValueDatatype="130" unbalanced="0"/>
    <cacheHierarchy uniqueName="[Pharmacy_Sales].[Quantity_Sold]" caption="Quantity_Sold" attribute="1" defaultMemberUniqueName="[Pharmacy_Sales].[Quantity_Sold].[All]" allUniqueName="[Pharmacy_Sales].[Quantity_Sold].[All]" dimensionUniqueName="[Pharmacy_Sales]" displayFolder="" count="0" memberValueDatatype="20" unbalanced="0"/>
    <cacheHierarchy uniqueName="[Pharmacy_Sales].[Unit_Price_NGN]" caption="Unit_Price_NGN" attribute="1" defaultMemberUniqueName="[Pharmacy_Sales].[Unit_Price_NGN].[All]" allUniqueName="[Pharmacy_Sales].[Unit_Price_NGN].[All]" dimensionUniqueName="[Pharmacy_Sales]" displayFolder="" count="0" memberValueDatatype="20" unbalanced="0"/>
    <cacheHierarchy uniqueName="[Pharmacy_Sales].[Total_Price_NGN (Updated)]" caption="Total_Price_NGN (Updated)" attribute="1" defaultMemberUniqueName="[Pharmacy_Sales].[Total_Price_NGN (Updated)].[All]" allUniqueName="[Pharmacy_Sales].[Total_Price_NGN (Updated)].[All]" dimensionUniqueName="[Pharmacy_Sales]" displayFolder="" count="0" memberValueDatatype="20" unbalanced="0"/>
    <cacheHierarchy uniqueName="[Pharmacy_Sales].[Pharmacist]" caption="Pharmacist" attribute="1" defaultMemberUniqueName="[Pharmacy_Sales].[Pharmacist].[All]" allUniqueName="[Pharmacy_Sales].[Pharmacist].[All]" dimensionUniqueName="[Pharmacy_Sales]" displayFolder="" count="0" memberValueDatatype="130" unbalanced="0"/>
    <cacheHierarchy uniqueName="[Pharmacy_Sales].[Prescription_Required]" caption="Prescription_Required" attribute="1" defaultMemberUniqueName="[Pharmacy_Sales].[Prescription_Required].[All]" allUniqueName="[Pharmacy_Sales].[Prescription_Required].[All]" dimensionUniqueName="[Pharmacy_Sales]" displayFolder="" count="0" memberValueDatatype="130" unbalanced="0"/>
    <cacheHierarchy uniqueName="[Pharmacy_Sales].[Prescription_Provided]" caption="Prescription_Provided" attribute="1" defaultMemberUniqueName="[Pharmacy_Sales].[Prescription_Provided].[All]" allUniqueName="[Pharmacy_Sales].[Prescription_Provided].[All]" dimensionUniqueName="[Pharmacy_Sales]" displayFolder="" count="0" memberValueDatatype="130" unbalanced="0"/>
    <cacheHierarchy uniqueName="[Pharmacy_Sales].[Prescription_Compliance]" caption="Prescription_Compliance" attribute="1" defaultMemberUniqueName="[Pharmacy_Sales].[Prescription_Compliance].[All]" allUniqueName="[Pharmacy_Sales].[Prescription_Compliance].[All]" dimensionUniqueName="[Pharmacy_Sales]" displayFolder="" count="0" memberValueDatatype="130" unbalanced="0"/>
    <cacheHierarchy uniqueName="[Pharmacy_Sales].[Stock_After_Sale]" caption="Stock_After_Sale" attribute="1" defaultMemberUniqueName="[Pharmacy_Sales].[Stock_After_Sale].[All]" allUniqueName="[Pharmacy_Sales].[Stock_After_Sale].[All]" dimensionUniqueName="[Pharmacy_Sales]" displayFolder="" count="0" memberValueDatatype="20" unbalanced="0"/>
    <cacheHierarchy uniqueName="[Pharmacy_Sales].[Expiry_Date]" caption="Expiry_Date" attribute="1" time="1" defaultMemberUniqueName="[Pharmacy_Sales].[Expiry_Date].[All]" allUniqueName="[Pharmacy_Sales].[Expiry_Date].[All]" dimensionUniqueName="[Pharmacy_Sales]" displayFolder="" count="0" memberValueDatatype="7" unbalanced="0"/>
    <cacheHierarchy uniqueName="[Pharmacy_Sales].[Expiry_Drug_Sold]" caption="Expiry_Drug_Sold" attribute="1" defaultMemberUniqueName="[Pharmacy_Sales].[Expiry_Drug_Sold].[All]" allUniqueName="[Pharmacy_Sales].[Expiry_Drug_Sold].[All]" dimensionUniqueName="[Pharmacy_Sales]" displayFolder="" count="0" memberValueDatatype="130" unbalanced="0"/>
    <cacheHierarchy uniqueName="[Staff_Attendance].[Record_ID]" caption="Record_ID" attribute="1" defaultMemberUniqueName="[Staff_Attendance].[Record_ID].[All]" allUniqueName="[Staff_Attendance].[Record_ID].[All]" dimensionUniqueName="[Staff_Attendance]" displayFolder="" count="0" memberValueDatatype="130" unbalanced="0"/>
    <cacheHierarchy uniqueName="[Staff_Attendance].[Staff_Name]" caption="Staff_Name" attribute="1" defaultMemberUniqueName="[Staff_Attendance].[Staff_Name].[All]" allUniqueName="[Staff_Attendance].[Staff_Name].[All]" dimensionUniqueName="[Staff_Attendance]" displayFolder="" count="0" memberValueDatatype="130" unbalanced="0"/>
    <cacheHierarchy uniqueName="[Staff_Attendance].[Staff_Role]" caption="Staff_Role" attribute="1" defaultMemberUniqueName="[Staff_Attendance].[Staff_Role].[All]" allUniqueName="[Staff_Attendance].[Staff_Role].[All]" dimensionUniqueName="[Staff_Attendance]" displayFolder="" count="0" memberValueDatatype="130" unbalanced="0"/>
    <cacheHierarchy uniqueName="[Staff_Attendance].[Department]" caption="Department" attribute="1" defaultMemberUniqueName="[Staff_Attendance].[Department].[All]" allUniqueName="[Staff_Attendance].[Department].[All]" dimensionUniqueName="[Staff_Attendance]" displayFolder="" count="0" memberValueDatatype="130" unbalanced="0"/>
    <cacheHierarchy uniqueName="[Staff_Attendance].[Date]" caption="Date" attribute="1" time="1" defaultMemberUniqueName="[Staff_Attendance].[Date].[All]" allUniqueName="[Staff_Attendance].[Date].[All]" dimensionUniqueName="[Staff_Attendance]" displayFolder="" count="2" memberValueDatatype="7" unbalanced="0">
      <fieldsUsage count="2">
        <fieldUsage x="-1"/>
        <fieldUsage x="2"/>
      </fieldsUsage>
    </cacheHierarchy>
    <cacheHierarchy uniqueName="[Staff_Attendance].[Clock_In (Updated)]" caption="Clock_In (Updated)" attribute="1" time="1" defaultMemberUniqueName="[Staff_Attendance].[Clock_In (Updated)].[All]" allUniqueName="[Staff_Attendance].[Clock_In (Updated)].[All]" dimensionUniqueName="[Staff_Attendance]" displayFolder="" count="0" memberValueDatatype="7" unbalanced="0"/>
    <cacheHierarchy uniqueName="[Staff_Attendance].[Clock_Out (Updated)]" caption="Clock_Out (Updated)" attribute="1" time="1" defaultMemberUniqueName="[Staff_Attendance].[Clock_Out (Updated)].[All]" allUniqueName="[Staff_Attendance].[Clock_Out (Updated)].[All]" dimensionUniqueName="[Staff_Attendance]" displayFolder="" count="0" memberValueDatatype="7" unbalanced="0"/>
    <cacheHierarchy uniqueName="[Staff_Attendance].[Hours_Worked (Updated)]" caption="Hours_Worked (Updated)" attribute="1" defaultMemberUniqueName="[Staff_Attendance].[Hours_Worked (Updated)].[All]" allUniqueName="[Staff_Attendance].[Hours_Worked (Updated)].[All]" dimensionUniqueName="[Staff_Attendance]" displayFolder="" count="0" memberValueDatatype="20" unbalanced="0"/>
    <cacheHierarchy uniqueName="[Staff_Attendance].[Shift_Type (Updated)]" caption="Shift_Type (Updated)" attribute="1" defaultMemberUniqueName="[Staff_Attendance].[Shift_Type (Updated)].[All]" allUniqueName="[Staff_Attendance].[Shift_Type (Updated)].[All]" dimensionUniqueName="[Staff_Attendance]" displayFolder="" count="0" memberValueDatatype="130" unbalanced="0"/>
    <cacheHierarchy uniqueName="[Staff_Attendance].[Attendance_Status (Updated)]" caption="Attendance_Status (Updated)" attribute="1" defaultMemberUniqueName="[Staff_Attendance].[Attendance_Status (Updated)].[All]" allUniqueName="[Staff_Attendance].[Attendance_Status (Updated)].[All]" dimensionUniqueName="[Staff_Attendance]" displayFolder="" count="0" memberValueDatatype="130" unbalanced="0"/>
    <cacheHierarchy uniqueName="[Measures].[__XL_Count Pharmacy_Sales]" caption="__XL_Count Pharmacy_Sales" measure="1" displayFolder="" measureGroup="Pharmacy_Sales" count="0" hidden="1"/>
    <cacheHierarchy uniqueName="[Measures].[__XL_Count Patient_Visits]" caption="__XL_Count Patient_Visits" measure="1" displayFolder="" measureGroup="Patient_Visits" count="0" hidden="1"/>
    <cacheHierarchy uniqueName="[Measures].[__XL_Count Staff_Attendance]" caption="__XL_Count Staff_Attendance" measure="1" displayFolder="" measureGroup="Staff_Attendance" count="0" hidden="1"/>
    <cacheHierarchy uniqueName="[Measures].[__No measures defined]" caption="__No measures defined" measure="1" displayFolder="" count="0" hidden="1"/>
    <cacheHierarchy uniqueName="[Measures].[Count of Patient_ID 2]" caption="Count of Patient_ID 2" measure="1" displayFolder="" measureGroup="Pharmacy_Sales" count="0" hidden="1">
      <extLst>
        <ext xmlns:x15="http://schemas.microsoft.com/office/spreadsheetml/2010/11/main" uri="{B97F6D7D-B522-45F9-BDA1-12C45D357490}">
          <x15:cacheHierarchy aggregatedColumn="24"/>
        </ext>
      </extLst>
    </cacheHierarchy>
    <cacheHierarchy uniqueName="[Measures].[Count of Visit_Date (Updated)]" caption="Count of Visit_Date (Updated)" measure="1" displayFolder="" measureGroup="Patient_Visits" count="0" hidden="1">
      <extLst>
        <ext xmlns:x15="http://schemas.microsoft.com/office/spreadsheetml/2010/11/main" uri="{B97F6D7D-B522-45F9-BDA1-12C45D357490}">
          <x15:cacheHierarchy aggregatedColumn="5"/>
        </ext>
      </extLst>
    </cacheHierarchy>
    <cacheHierarchy uniqueName="[Measures].[Count of Patient_ID]" caption="Count of Patient_ID" measure="1" displayFolder="" measureGroup="Patient_Visit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Bill_Amount_NGN]" caption="Sum of Bill_Amount_NGN" measure="1" displayFolder="" measureGroup="Patient_Visits" count="0" hidden="1">
      <extLst>
        <ext xmlns:x15="http://schemas.microsoft.com/office/spreadsheetml/2010/11/main" uri="{B97F6D7D-B522-45F9-BDA1-12C45D357490}">
          <x15:cacheHierarchy aggregatedColumn="20"/>
        </ext>
      </extLst>
    </cacheHierarchy>
    <cacheHierarchy uniqueName="[Measures].[Average of Bill_Amount_NGN]" caption="Average of Bill_Amount_NGN" measure="1" displayFolder="" measureGroup="Patient_Visits" count="0" hidden="1">
      <extLst>
        <ext xmlns:x15="http://schemas.microsoft.com/office/spreadsheetml/2010/11/main" uri="{B97F6D7D-B522-45F9-BDA1-12C45D357490}">
          <x15:cacheHierarchy aggregatedColumn="20"/>
        </ext>
      </extLst>
    </cacheHierarchy>
    <cacheHierarchy uniqueName="[Measures].[Sum of Total_Price_NGN (Updated)]" caption="Sum of Total_Price_NGN (Updated)" measure="1" displayFolder="" measureGroup="Pharmacy_Sales" count="0" hidden="1">
      <extLst>
        <ext xmlns:x15="http://schemas.microsoft.com/office/spreadsheetml/2010/11/main" uri="{B97F6D7D-B522-45F9-BDA1-12C45D357490}">
          <x15:cacheHierarchy aggregatedColumn="29"/>
        </ext>
      </extLst>
    </cacheHierarchy>
  </cacheHierarchies>
  <kpis count="0"/>
  <dimensions count="4">
    <dimension measure="1" name="Measures" uniqueName="[Measures]" caption="Measures"/>
    <dimension name="Patient_Visits" uniqueName="[Patient_Visits]" caption="Patient_Visits"/>
    <dimension name="Pharmacy_Sales" uniqueName="[Pharmacy_Sales]" caption="Pharmacy_Sales"/>
    <dimension name="Staff_Attendance" uniqueName="[Staff_Attendance]" caption="Staff_Attendance"/>
  </dimensions>
  <measureGroups count="3">
    <measureGroup name="Patient_Visits" caption="Patient_Visits"/>
    <measureGroup name="Pharmacy_Sales" caption="Pharmacy_Sales"/>
    <measureGroup name="Staff_Attendance" caption="Staff_Attendance"/>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5.564846064815" backgroundQuery="1" createdVersion="8" refreshedVersion="8" minRefreshableVersion="3" recordCount="0" supportSubquery="1" supportAdvancedDrill="1" xr:uid="{CB349E40-7A95-4612-85C0-950ABDA335BC}">
  <cacheSource type="external" connectionId="4"/>
  <cacheFields count="5">
    <cacheField name="[Patient_Visits].[Gender].[Gender]" caption="Gender" numFmtId="0" hierarchy="3" level="1">
      <sharedItems count="3">
        <s v="Female"/>
        <s v="Male"/>
        <s v="Unknown"/>
      </sharedItems>
    </cacheField>
    <cacheField name="[Measures].[Count of Patient_ID]" caption="Count of Patient_ID" numFmtId="0" hierarchy="53" level="32767"/>
    <cacheField name="[Staff_Attendance].[Date].[Date]" caption="Date" numFmtId="0" hierarchy="41" level="1">
      <sharedItems containsSemiMixedTypes="0" containsNonDate="0" containsString="0"/>
    </cacheField>
    <cacheField name="[Patient_Visits].[Department].[Department]" caption="Department" numFmtId="0" hierarchy="8" level="1">
      <sharedItems containsSemiMixedTypes="0" containsNonDate="0" containsString="0"/>
    </cacheField>
    <cacheField name="[Patient_Visits].[State].[State]" caption="State" numFmtId="0" hierarchy="4" level="1">
      <sharedItems containsSemiMixedTypes="0" containsNonDate="0" containsString="0"/>
    </cacheField>
  </cacheFields>
  <cacheHierarchies count="57">
    <cacheHierarchy uniqueName="[Patient_Visits].[Patient_ID]" caption="Patient_ID" attribute="1" defaultMemberUniqueName="[Patient_Visits].[Patient_ID].[All]" allUniqueName="[Patient_Visits].[Patient_ID].[All]" dimensionUniqueName="[Patient_Visits]" displayFolder="" count="0" memberValueDatatype="130" unbalanced="0"/>
    <cacheHierarchy uniqueName="[Patient_Visits].[Patient_Name]" caption="Patient_Name" attribute="1" defaultMemberUniqueName="[Patient_Visits].[Patient_Name].[All]" allUniqueName="[Patient_Visits].[Patient_Name].[All]" dimensionUniqueName="[Patient_Visits]" displayFolder="" count="0" memberValueDatatype="130" unbalanced="0"/>
    <cacheHierarchy uniqueName="[Patient_Visits].[Age]" caption="Age" attribute="1" defaultMemberUniqueName="[Patient_Visits].[Age].[All]" allUniqueName="[Patient_Visits].[Age].[All]" dimensionUniqueName="[Patient_Visits]" displayFolder="" count="0" memberValueDatatype="20" unbalanced="0"/>
    <cacheHierarchy uniqueName="[Patient_Visits].[Gender]" caption="Gender" attribute="1" defaultMemberUniqueName="[Patient_Visits].[Gender].[All]" allUniqueName="[Patient_Visits].[Gender].[All]" dimensionUniqueName="[Patient_Visits]" displayFolder="" count="2" memberValueDatatype="130" unbalanced="0">
      <fieldsUsage count="2">
        <fieldUsage x="-1"/>
        <fieldUsage x="0"/>
      </fieldsUsage>
    </cacheHierarchy>
    <cacheHierarchy uniqueName="[Patient_Visits].[State]" caption="State" attribute="1" defaultMemberUniqueName="[Patient_Visits].[State].[All]" allUniqueName="[Patient_Visits].[State].[All]" dimensionUniqueName="[Patient_Visits]" displayFolder="" count="2" memberValueDatatype="130" unbalanced="0">
      <fieldsUsage count="2">
        <fieldUsage x="-1"/>
        <fieldUsage x="4"/>
      </fieldsUsage>
    </cacheHierarchy>
    <cacheHierarchy uniqueName="[Patient_Visits].[Visit_Date (Updated)]" caption="Visit_Date (Updated)" attribute="1" defaultMemberUniqueName="[Patient_Visits].[Visit_Date (Updated)].[All]" allUniqueName="[Patient_Visits].[Visit_Date (Updated)].[All]" dimensionUniqueName="[Patient_Visits]" displayFolder="" count="0" memberValueDatatype="130" unbalanced="0"/>
    <cacheHierarchy uniqueName="[Patient_Visits].[Column1]" caption="Column1" attribute="1" defaultMemberUniqueName="[Patient_Visits].[Column1].[All]" allUniqueName="[Patient_Visits].[Column1].[All]" dimensionUniqueName="[Patient_Visits]" displayFolder="" count="0" memberValueDatatype="130" unbalanced="0"/>
    <cacheHierarchy uniqueName="[Patient_Visits].[Month]" caption="Month" attribute="1" defaultMemberUniqueName="[Patient_Visits].[Month].[All]" allUniqueName="[Patient_Visits].[Month].[All]" dimensionUniqueName="[Patient_Visits]" displayFolder="" count="0" memberValueDatatype="130" unbalanced="0"/>
    <cacheHierarchy uniqueName="[Patient_Visits].[Department]" caption="Department" attribute="1" defaultMemberUniqueName="[Patient_Visits].[Department].[All]" allUniqueName="[Patient_Visits].[Department].[All]" dimensionUniqueName="[Patient_Visits]" displayFolder="" count="2" memberValueDatatype="130" unbalanced="0">
      <fieldsUsage count="2">
        <fieldUsage x="-1"/>
        <fieldUsage x="3"/>
      </fieldsUsage>
    </cacheHierarchy>
    <cacheHierarchy uniqueName="[Patient_Visits].[Doctor_Name]" caption="Doctor_Name" attribute="1" defaultMemberUniqueName="[Patient_Visits].[Doctor_Name].[All]" allUniqueName="[Patient_Visits].[Doctor_Name].[All]" dimensionUniqueName="[Patient_Visits]" displayFolder="" count="0" memberValueDatatype="130" unbalanced="0"/>
    <cacheHierarchy uniqueName="[Patient_Visits].[Diagnosis]" caption="Diagnosis" attribute="1" defaultMemberUniqueName="[Patient_Visits].[Diagnosis].[All]" allUniqueName="[Patient_Visits].[Diagnosis].[All]" dimensionUniqueName="[Patient_Visits]" displayFolder="" count="0" memberValueDatatype="130" unbalanced="0"/>
    <cacheHierarchy uniqueName="[Patient_Visits].[Visit_Type]" caption="Visit_Type" attribute="1" defaultMemberUniqueName="[Patient_Visits].[Visit_Type].[All]" allUniqueName="[Patient_Visits].[Visit_Type].[All]" dimensionUniqueName="[Patient_Visits]" displayFolder="" count="0" memberValueDatatype="130" unbalanced="0"/>
    <cacheHierarchy uniqueName="[Patient_Visits].[Blood_Pressure (Updated)]" caption="Blood_Pressure (Updated)" attribute="1" defaultMemberUniqueName="[Patient_Visits].[Blood_Pressure (Updated)].[All]" allUniqueName="[Patient_Visits].[Blood_Pressure (Updated)].[All]" dimensionUniqueName="[Patient_Visits]" displayFolder="" count="0" memberValueDatatype="130" unbalanced="0"/>
    <cacheHierarchy uniqueName="[Patient_Visits].[Heart_Rate_bpm]" caption="Heart_Rate_bpm" attribute="1" defaultMemberUniqueName="[Patient_Visits].[Heart_Rate_bpm].[All]" allUniqueName="[Patient_Visits].[Heart_Rate_bpm].[All]" dimensionUniqueName="[Patient_Visits]" displayFolder="" count="0" memberValueDatatype="20" unbalanced="0"/>
    <cacheHierarchy uniqueName="[Patient_Visits].[Body_Temp (Celsius)]" caption="Body_Temp (Celsius)" attribute="1" defaultMemberUniqueName="[Patient_Visits].[Body_Temp (Celsius)].[All]" allUniqueName="[Patient_Visits].[Body_Temp (Celsius)].[All]" dimensionUniqueName="[Patient_Visits]" displayFolder="" count="0" memberValueDatatype="5" unbalanced="0"/>
    <cacheHierarchy uniqueName="[Patient_Visits].[Body_Temp_C]" caption="Body_Temp_C" attribute="1" defaultMemberUniqueName="[Patient_Visits].[Body_Temp_C].[All]" allUniqueName="[Patient_Visits].[Body_Temp_C].[All]" dimensionUniqueName="[Patient_Visits]" displayFolder="" count="0" memberValueDatatype="5" unbalanced="0"/>
    <cacheHierarchy uniqueName="[Patient_Visits].[Weight_kg]" caption="Weight_kg" attribute="1" defaultMemberUniqueName="[Patient_Visits].[Weight_kg].[All]" allUniqueName="[Patient_Visits].[Weight_kg].[All]" dimensionUniqueName="[Patient_Visits]" displayFolder="" count="0" memberValueDatatype="5" unbalanced="0"/>
    <cacheHierarchy uniqueName="[Patient_Visits].[Height_cm]" caption="Height_cm" attribute="1" defaultMemberUniqueName="[Patient_Visits].[Height_cm].[All]" allUniqueName="[Patient_Visits].[Height_cm].[All]" dimensionUniqueName="[Patient_Visits]" displayFolder="" count="0" memberValueDatatype="20" unbalanced="0"/>
    <cacheHierarchy uniqueName="[Patient_Visits].[BMI]" caption="BMI" attribute="1" defaultMemberUniqueName="[Patient_Visits].[BMI].[All]" allUniqueName="[Patient_Visits].[BMI].[All]" dimensionUniqueName="[Patient_Visits]" displayFolder="" count="0" memberValueDatatype="5" unbalanced="0"/>
    <cacheHierarchy uniqueName="[Patient_Visits].[Payment_Method]" caption="Payment_Method" attribute="1" defaultMemberUniqueName="[Patient_Visits].[Payment_Method].[All]" allUniqueName="[Patient_Visits].[Payment_Method].[All]" dimensionUniqueName="[Patient_Visits]" displayFolder="" count="0" memberValueDatatype="130" unbalanced="0"/>
    <cacheHierarchy uniqueName="[Patient_Visits].[Bill_Amount_NGN]" caption="Bill_Amount_NGN" attribute="1" defaultMemberUniqueName="[Patient_Visits].[Bill_Amount_NGN].[All]" allUniqueName="[Patient_Visits].[Bill_Amount_NGN].[All]" dimensionUniqueName="[Patient_Visits]" displayFolder="" count="0" memberValueDatatype="20" unbalanced="0"/>
    <cacheHierarchy uniqueName="[Patient_Visits].[Payment_Status (Updated)]" caption="Payment_Status (Updated)" attribute="1" defaultMemberUniqueName="[Patient_Visits].[Payment_Status (Updated)].[All]" allUniqueName="[Patient_Visits].[Payment_Status (Updated)].[All]" dimensionUniqueName="[Patient_Visits]" displayFolder="" count="0" memberValueDatatype="130" unbalanced="0"/>
    <cacheHierarchy uniqueName="[Patient_Visits].[Follow_Up_Needed]" caption="Follow_Up_Needed" attribute="1" defaultMemberUniqueName="[Patient_Visits].[Follow_Up_Needed].[All]" allUniqueName="[Patient_Visits].[Follow_Up_Needed].[All]" dimensionUniqueName="[Patient_Visits]" displayFolder="" count="0" memberValueDatatype="130" unbalanced="0"/>
    <cacheHierarchy uniqueName="[Pharmacy_Sales].[Sale_ID]" caption="Sale_ID" attribute="1" defaultMemberUniqueName="[Pharmacy_Sales].[Sale_ID].[All]" allUniqueName="[Pharmacy_Sales].[Sale_ID].[All]" dimensionUniqueName="[Pharmacy_Sales]" displayFolder="" count="0" memberValueDatatype="130" unbalanced="0"/>
    <cacheHierarchy uniqueName="[Pharmacy_Sales].[Patient_ID]" caption="Patient_ID" attribute="1" defaultMemberUniqueName="[Pharmacy_Sales].[Patient_ID].[All]" allUniqueName="[Pharmacy_Sales].[Patient_ID].[All]" dimensionUniqueName="[Pharmacy_Sales]" displayFolder="" count="0" memberValueDatatype="130" unbalanced="0"/>
    <cacheHierarchy uniqueName="[Pharmacy_Sales].[Sale_Date (Updated)]" caption="Sale_Date (Updated)" attribute="1" time="1" defaultMemberUniqueName="[Pharmacy_Sales].[Sale_Date (Updated)].[All]" allUniqueName="[Pharmacy_Sales].[Sale_Date (Updated)].[All]" dimensionUniqueName="[Pharmacy_Sales]" displayFolder="" count="0" memberValueDatatype="7" unbalanced="0"/>
    <cacheHierarchy uniqueName="[Pharmacy_Sales].[Drug_Name]" caption="Drug_Name" attribute="1" defaultMemberUniqueName="[Pharmacy_Sales].[Drug_Name].[All]" allUniqueName="[Pharmacy_Sales].[Drug_Name].[All]" dimensionUniqueName="[Pharmacy_Sales]" displayFolder="" count="0" memberValueDatatype="130" unbalanced="0"/>
    <cacheHierarchy uniqueName="[Pharmacy_Sales].[Quantity_Sold]" caption="Quantity_Sold" attribute="1" defaultMemberUniqueName="[Pharmacy_Sales].[Quantity_Sold].[All]" allUniqueName="[Pharmacy_Sales].[Quantity_Sold].[All]" dimensionUniqueName="[Pharmacy_Sales]" displayFolder="" count="0" memberValueDatatype="20" unbalanced="0"/>
    <cacheHierarchy uniqueName="[Pharmacy_Sales].[Unit_Price_NGN]" caption="Unit_Price_NGN" attribute="1" defaultMemberUniqueName="[Pharmacy_Sales].[Unit_Price_NGN].[All]" allUniqueName="[Pharmacy_Sales].[Unit_Price_NGN].[All]" dimensionUniqueName="[Pharmacy_Sales]" displayFolder="" count="0" memberValueDatatype="20" unbalanced="0"/>
    <cacheHierarchy uniqueName="[Pharmacy_Sales].[Total_Price_NGN (Updated)]" caption="Total_Price_NGN (Updated)" attribute="1" defaultMemberUniqueName="[Pharmacy_Sales].[Total_Price_NGN (Updated)].[All]" allUniqueName="[Pharmacy_Sales].[Total_Price_NGN (Updated)].[All]" dimensionUniqueName="[Pharmacy_Sales]" displayFolder="" count="0" memberValueDatatype="20" unbalanced="0"/>
    <cacheHierarchy uniqueName="[Pharmacy_Sales].[Pharmacist]" caption="Pharmacist" attribute="1" defaultMemberUniqueName="[Pharmacy_Sales].[Pharmacist].[All]" allUniqueName="[Pharmacy_Sales].[Pharmacist].[All]" dimensionUniqueName="[Pharmacy_Sales]" displayFolder="" count="0" memberValueDatatype="130" unbalanced="0"/>
    <cacheHierarchy uniqueName="[Pharmacy_Sales].[Prescription_Required]" caption="Prescription_Required" attribute="1" defaultMemberUniqueName="[Pharmacy_Sales].[Prescription_Required].[All]" allUniqueName="[Pharmacy_Sales].[Prescription_Required].[All]" dimensionUniqueName="[Pharmacy_Sales]" displayFolder="" count="0" memberValueDatatype="130" unbalanced="0"/>
    <cacheHierarchy uniqueName="[Pharmacy_Sales].[Prescription_Provided]" caption="Prescription_Provided" attribute="1" defaultMemberUniqueName="[Pharmacy_Sales].[Prescription_Provided].[All]" allUniqueName="[Pharmacy_Sales].[Prescription_Provided].[All]" dimensionUniqueName="[Pharmacy_Sales]" displayFolder="" count="0" memberValueDatatype="130" unbalanced="0"/>
    <cacheHierarchy uniqueName="[Pharmacy_Sales].[Prescription_Compliance]" caption="Prescription_Compliance" attribute="1" defaultMemberUniqueName="[Pharmacy_Sales].[Prescription_Compliance].[All]" allUniqueName="[Pharmacy_Sales].[Prescription_Compliance].[All]" dimensionUniqueName="[Pharmacy_Sales]" displayFolder="" count="0" memberValueDatatype="130" unbalanced="0"/>
    <cacheHierarchy uniqueName="[Pharmacy_Sales].[Stock_After_Sale]" caption="Stock_After_Sale" attribute="1" defaultMemberUniqueName="[Pharmacy_Sales].[Stock_After_Sale].[All]" allUniqueName="[Pharmacy_Sales].[Stock_After_Sale].[All]" dimensionUniqueName="[Pharmacy_Sales]" displayFolder="" count="0" memberValueDatatype="20" unbalanced="0"/>
    <cacheHierarchy uniqueName="[Pharmacy_Sales].[Expiry_Date]" caption="Expiry_Date" attribute="1" time="1" defaultMemberUniqueName="[Pharmacy_Sales].[Expiry_Date].[All]" allUniqueName="[Pharmacy_Sales].[Expiry_Date].[All]" dimensionUniqueName="[Pharmacy_Sales]" displayFolder="" count="0" memberValueDatatype="7" unbalanced="0"/>
    <cacheHierarchy uniqueName="[Pharmacy_Sales].[Expiry_Drug_Sold]" caption="Expiry_Drug_Sold" attribute="1" defaultMemberUniqueName="[Pharmacy_Sales].[Expiry_Drug_Sold].[All]" allUniqueName="[Pharmacy_Sales].[Expiry_Drug_Sold].[All]" dimensionUniqueName="[Pharmacy_Sales]" displayFolder="" count="0" memberValueDatatype="130" unbalanced="0"/>
    <cacheHierarchy uniqueName="[Staff_Attendance].[Record_ID]" caption="Record_ID" attribute="1" defaultMemberUniqueName="[Staff_Attendance].[Record_ID].[All]" allUniqueName="[Staff_Attendance].[Record_ID].[All]" dimensionUniqueName="[Staff_Attendance]" displayFolder="" count="0" memberValueDatatype="130" unbalanced="0"/>
    <cacheHierarchy uniqueName="[Staff_Attendance].[Staff_Name]" caption="Staff_Name" attribute="1" defaultMemberUniqueName="[Staff_Attendance].[Staff_Name].[All]" allUniqueName="[Staff_Attendance].[Staff_Name].[All]" dimensionUniqueName="[Staff_Attendance]" displayFolder="" count="0" memberValueDatatype="130" unbalanced="0"/>
    <cacheHierarchy uniqueName="[Staff_Attendance].[Staff_Role]" caption="Staff_Role" attribute="1" defaultMemberUniqueName="[Staff_Attendance].[Staff_Role].[All]" allUniqueName="[Staff_Attendance].[Staff_Role].[All]" dimensionUniqueName="[Staff_Attendance]" displayFolder="" count="0" memberValueDatatype="130" unbalanced="0"/>
    <cacheHierarchy uniqueName="[Staff_Attendance].[Department]" caption="Department" attribute="1" defaultMemberUniqueName="[Staff_Attendance].[Department].[All]" allUniqueName="[Staff_Attendance].[Department].[All]" dimensionUniqueName="[Staff_Attendance]" displayFolder="" count="0" memberValueDatatype="130" unbalanced="0"/>
    <cacheHierarchy uniqueName="[Staff_Attendance].[Date]" caption="Date" attribute="1" time="1" defaultMemberUniqueName="[Staff_Attendance].[Date].[All]" allUniqueName="[Staff_Attendance].[Date].[All]" dimensionUniqueName="[Staff_Attendance]" displayFolder="" count="2" memberValueDatatype="7" unbalanced="0">
      <fieldsUsage count="2">
        <fieldUsage x="-1"/>
        <fieldUsage x="2"/>
      </fieldsUsage>
    </cacheHierarchy>
    <cacheHierarchy uniqueName="[Staff_Attendance].[Clock_In (Updated)]" caption="Clock_In (Updated)" attribute="1" time="1" defaultMemberUniqueName="[Staff_Attendance].[Clock_In (Updated)].[All]" allUniqueName="[Staff_Attendance].[Clock_In (Updated)].[All]" dimensionUniqueName="[Staff_Attendance]" displayFolder="" count="0" memberValueDatatype="7" unbalanced="0"/>
    <cacheHierarchy uniqueName="[Staff_Attendance].[Clock_Out (Updated)]" caption="Clock_Out (Updated)" attribute="1" time="1" defaultMemberUniqueName="[Staff_Attendance].[Clock_Out (Updated)].[All]" allUniqueName="[Staff_Attendance].[Clock_Out (Updated)].[All]" dimensionUniqueName="[Staff_Attendance]" displayFolder="" count="0" memberValueDatatype="7" unbalanced="0"/>
    <cacheHierarchy uniqueName="[Staff_Attendance].[Hours_Worked (Updated)]" caption="Hours_Worked (Updated)" attribute="1" defaultMemberUniqueName="[Staff_Attendance].[Hours_Worked (Updated)].[All]" allUniqueName="[Staff_Attendance].[Hours_Worked (Updated)].[All]" dimensionUniqueName="[Staff_Attendance]" displayFolder="" count="0" memberValueDatatype="20" unbalanced="0"/>
    <cacheHierarchy uniqueName="[Staff_Attendance].[Shift_Type (Updated)]" caption="Shift_Type (Updated)" attribute="1" defaultMemberUniqueName="[Staff_Attendance].[Shift_Type (Updated)].[All]" allUniqueName="[Staff_Attendance].[Shift_Type (Updated)].[All]" dimensionUniqueName="[Staff_Attendance]" displayFolder="" count="0" memberValueDatatype="130" unbalanced="0"/>
    <cacheHierarchy uniqueName="[Staff_Attendance].[Attendance_Status (Updated)]" caption="Attendance_Status (Updated)" attribute="1" defaultMemberUniqueName="[Staff_Attendance].[Attendance_Status (Updated)].[All]" allUniqueName="[Staff_Attendance].[Attendance_Status (Updated)].[All]" dimensionUniqueName="[Staff_Attendance]" displayFolder="" count="0" memberValueDatatype="130" unbalanced="0"/>
    <cacheHierarchy uniqueName="[Measures].[__XL_Count Pharmacy_Sales]" caption="__XL_Count Pharmacy_Sales" measure="1" displayFolder="" measureGroup="Pharmacy_Sales" count="0" hidden="1"/>
    <cacheHierarchy uniqueName="[Measures].[__XL_Count Patient_Visits]" caption="__XL_Count Patient_Visits" measure="1" displayFolder="" measureGroup="Patient_Visits" count="0" hidden="1"/>
    <cacheHierarchy uniqueName="[Measures].[__XL_Count Staff_Attendance]" caption="__XL_Count Staff_Attendance" measure="1" displayFolder="" measureGroup="Staff_Attendance" count="0" hidden="1"/>
    <cacheHierarchy uniqueName="[Measures].[__No measures defined]" caption="__No measures defined" measure="1" displayFolder="" count="0" hidden="1"/>
    <cacheHierarchy uniqueName="[Measures].[Count of Patient_ID 2]" caption="Count of Patient_ID 2" measure="1" displayFolder="" measureGroup="Pharmacy_Sales" count="0" hidden="1">
      <extLst>
        <ext xmlns:x15="http://schemas.microsoft.com/office/spreadsheetml/2010/11/main" uri="{B97F6D7D-B522-45F9-BDA1-12C45D357490}">
          <x15:cacheHierarchy aggregatedColumn="24"/>
        </ext>
      </extLst>
    </cacheHierarchy>
    <cacheHierarchy uniqueName="[Measures].[Count of Visit_Date (Updated)]" caption="Count of Visit_Date (Updated)" measure="1" displayFolder="" measureGroup="Patient_Visits" count="0" hidden="1">
      <extLst>
        <ext xmlns:x15="http://schemas.microsoft.com/office/spreadsheetml/2010/11/main" uri="{B97F6D7D-B522-45F9-BDA1-12C45D357490}">
          <x15:cacheHierarchy aggregatedColumn="5"/>
        </ext>
      </extLst>
    </cacheHierarchy>
    <cacheHierarchy uniqueName="[Measures].[Count of Patient_ID]" caption="Count of Patient_ID" measure="1" displayFolder="" measureGroup="Patient_Visit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Bill_Amount_NGN]" caption="Sum of Bill_Amount_NGN" measure="1" displayFolder="" measureGroup="Patient_Visits" count="0" hidden="1">
      <extLst>
        <ext xmlns:x15="http://schemas.microsoft.com/office/spreadsheetml/2010/11/main" uri="{B97F6D7D-B522-45F9-BDA1-12C45D357490}">
          <x15:cacheHierarchy aggregatedColumn="20"/>
        </ext>
      </extLst>
    </cacheHierarchy>
    <cacheHierarchy uniqueName="[Measures].[Average of Bill_Amount_NGN]" caption="Average of Bill_Amount_NGN" measure="1" displayFolder="" measureGroup="Patient_Visits" count="0" hidden="1">
      <extLst>
        <ext xmlns:x15="http://schemas.microsoft.com/office/spreadsheetml/2010/11/main" uri="{B97F6D7D-B522-45F9-BDA1-12C45D357490}">
          <x15:cacheHierarchy aggregatedColumn="20"/>
        </ext>
      </extLst>
    </cacheHierarchy>
    <cacheHierarchy uniqueName="[Measures].[Sum of Total_Price_NGN (Updated)]" caption="Sum of Total_Price_NGN (Updated)" measure="1" displayFolder="" measureGroup="Pharmacy_Sales" count="0" hidden="1">
      <extLst>
        <ext xmlns:x15="http://schemas.microsoft.com/office/spreadsheetml/2010/11/main" uri="{B97F6D7D-B522-45F9-BDA1-12C45D357490}">
          <x15:cacheHierarchy aggregatedColumn="29"/>
        </ext>
      </extLst>
    </cacheHierarchy>
  </cacheHierarchies>
  <kpis count="0"/>
  <dimensions count="4">
    <dimension measure="1" name="Measures" uniqueName="[Measures]" caption="Measures"/>
    <dimension name="Patient_Visits" uniqueName="[Patient_Visits]" caption="Patient_Visits"/>
    <dimension name="Pharmacy_Sales" uniqueName="[Pharmacy_Sales]" caption="Pharmacy_Sales"/>
    <dimension name="Staff_Attendance" uniqueName="[Staff_Attendance]" caption="Staff_Attendance"/>
  </dimensions>
  <measureGroups count="3">
    <measureGroup name="Patient_Visits" caption="Patient_Visits"/>
    <measureGroup name="Pharmacy_Sales" caption="Pharmacy_Sales"/>
    <measureGroup name="Staff_Attendance" caption="Staff_Attendance"/>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5.564848379632" backgroundQuery="1" createdVersion="8" refreshedVersion="8" minRefreshableVersion="3" recordCount="0" supportSubquery="1" supportAdvancedDrill="1" xr:uid="{8DA3C050-801C-4634-A278-ACD07EFDE2B8}">
  <cacheSource type="external" connectionId="4"/>
  <cacheFields count="5">
    <cacheField name="[Patient_Visits].[Month].[Month]" caption="Month" numFmtId="0" hierarchy="7" level="1">
      <sharedItems count="12">
        <s v="April"/>
        <s v="August"/>
        <s v="December"/>
        <s v="February"/>
        <s v="January"/>
        <s v="July"/>
        <s v="June"/>
        <s v="March"/>
        <s v="May"/>
        <s v="November"/>
        <s v="October"/>
        <s v="September"/>
      </sharedItems>
    </cacheField>
    <cacheField name="[Measures].[Sum of Bill_Amount_NGN]" caption="Sum of Bill_Amount_NGN" numFmtId="0" hierarchy="54" level="32767"/>
    <cacheField name="[Staff_Attendance].[Date].[Date]" caption="Date" numFmtId="0" hierarchy="41" level="1">
      <sharedItems containsSemiMixedTypes="0" containsNonDate="0" containsString="0"/>
    </cacheField>
    <cacheField name="[Patient_Visits].[Department].[Department]" caption="Department" numFmtId="0" hierarchy="8" level="1">
      <sharedItems containsSemiMixedTypes="0" containsNonDate="0" containsString="0"/>
    </cacheField>
    <cacheField name="[Patient_Visits].[State].[State]" caption="State" numFmtId="0" hierarchy="4" level="1">
      <sharedItems containsSemiMixedTypes="0" containsNonDate="0" containsString="0"/>
    </cacheField>
  </cacheFields>
  <cacheHierarchies count="57">
    <cacheHierarchy uniqueName="[Patient_Visits].[Patient_ID]" caption="Patient_ID" attribute="1" defaultMemberUniqueName="[Patient_Visits].[Patient_ID].[All]" allUniqueName="[Patient_Visits].[Patient_ID].[All]" dimensionUniqueName="[Patient_Visits]" displayFolder="" count="0" memberValueDatatype="130" unbalanced="0"/>
    <cacheHierarchy uniqueName="[Patient_Visits].[Patient_Name]" caption="Patient_Name" attribute="1" defaultMemberUniqueName="[Patient_Visits].[Patient_Name].[All]" allUniqueName="[Patient_Visits].[Patient_Name].[All]" dimensionUniqueName="[Patient_Visits]" displayFolder="" count="0" memberValueDatatype="130" unbalanced="0"/>
    <cacheHierarchy uniqueName="[Patient_Visits].[Age]" caption="Age" attribute="1" defaultMemberUniqueName="[Patient_Visits].[Age].[All]" allUniqueName="[Patient_Visits].[Age].[All]" dimensionUniqueName="[Patient_Visits]" displayFolder="" count="0" memberValueDatatype="20" unbalanced="0"/>
    <cacheHierarchy uniqueName="[Patient_Visits].[Gender]" caption="Gender" attribute="1" defaultMemberUniqueName="[Patient_Visits].[Gender].[All]" allUniqueName="[Patient_Visits].[Gender].[All]" dimensionUniqueName="[Patient_Visits]" displayFolder="" count="0" memberValueDatatype="130" unbalanced="0"/>
    <cacheHierarchy uniqueName="[Patient_Visits].[State]" caption="State" attribute="1" defaultMemberUniqueName="[Patient_Visits].[State].[All]" allUniqueName="[Patient_Visits].[State].[All]" dimensionUniqueName="[Patient_Visits]" displayFolder="" count="2" memberValueDatatype="130" unbalanced="0">
      <fieldsUsage count="2">
        <fieldUsage x="-1"/>
        <fieldUsage x="4"/>
      </fieldsUsage>
    </cacheHierarchy>
    <cacheHierarchy uniqueName="[Patient_Visits].[Visit_Date (Updated)]" caption="Visit_Date (Updated)" attribute="1" defaultMemberUniqueName="[Patient_Visits].[Visit_Date (Updated)].[All]" allUniqueName="[Patient_Visits].[Visit_Date (Updated)].[All]" dimensionUniqueName="[Patient_Visits]" displayFolder="" count="0" memberValueDatatype="130" unbalanced="0"/>
    <cacheHierarchy uniqueName="[Patient_Visits].[Column1]" caption="Column1" attribute="1" defaultMemberUniqueName="[Patient_Visits].[Column1].[All]" allUniqueName="[Patient_Visits].[Column1].[All]" dimensionUniqueName="[Patient_Visits]" displayFolder="" count="0" memberValueDatatype="130" unbalanced="0"/>
    <cacheHierarchy uniqueName="[Patient_Visits].[Month]" caption="Month" attribute="1" defaultMemberUniqueName="[Patient_Visits].[Month].[All]" allUniqueName="[Patient_Visits].[Month].[All]" dimensionUniqueName="[Patient_Visits]" displayFolder="" count="2" memberValueDatatype="130" unbalanced="0">
      <fieldsUsage count="2">
        <fieldUsage x="-1"/>
        <fieldUsage x="0"/>
      </fieldsUsage>
    </cacheHierarchy>
    <cacheHierarchy uniqueName="[Patient_Visits].[Department]" caption="Department" attribute="1" defaultMemberUniqueName="[Patient_Visits].[Department].[All]" allUniqueName="[Patient_Visits].[Department].[All]" dimensionUniqueName="[Patient_Visits]" displayFolder="" count="2" memberValueDatatype="130" unbalanced="0">
      <fieldsUsage count="2">
        <fieldUsage x="-1"/>
        <fieldUsage x="3"/>
      </fieldsUsage>
    </cacheHierarchy>
    <cacheHierarchy uniqueName="[Patient_Visits].[Doctor_Name]" caption="Doctor_Name" attribute="1" defaultMemberUniqueName="[Patient_Visits].[Doctor_Name].[All]" allUniqueName="[Patient_Visits].[Doctor_Name].[All]" dimensionUniqueName="[Patient_Visits]" displayFolder="" count="0" memberValueDatatype="130" unbalanced="0"/>
    <cacheHierarchy uniqueName="[Patient_Visits].[Diagnosis]" caption="Diagnosis" attribute="1" defaultMemberUniqueName="[Patient_Visits].[Diagnosis].[All]" allUniqueName="[Patient_Visits].[Diagnosis].[All]" dimensionUniqueName="[Patient_Visits]" displayFolder="" count="0" memberValueDatatype="130" unbalanced="0"/>
    <cacheHierarchy uniqueName="[Patient_Visits].[Visit_Type]" caption="Visit_Type" attribute="1" defaultMemberUniqueName="[Patient_Visits].[Visit_Type].[All]" allUniqueName="[Patient_Visits].[Visit_Type].[All]" dimensionUniqueName="[Patient_Visits]" displayFolder="" count="0" memberValueDatatype="130" unbalanced="0"/>
    <cacheHierarchy uniqueName="[Patient_Visits].[Blood_Pressure (Updated)]" caption="Blood_Pressure (Updated)" attribute="1" defaultMemberUniqueName="[Patient_Visits].[Blood_Pressure (Updated)].[All]" allUniqueName="[Patient_Visits].[Blood_Pressure (Updated)].[All]" dimensionUniqueName="[Patient_Visits]" displayFolder="" count="0" memberValueDatatype="130" unbalanced="0"/>
    <cacheHierarchy uniqueName="[Patient_Visits].[Heart_Rate_bpm]" caption="Heart_Rate_bpm" attribute="1" defaultMemberUniqueName="[Patient_Visits].[Heart_Rate_bpm].[All]" allUniqueName="[Patient_Visits].[Heart_Rate_bpm].[All]" dimensionUniqueName="[Patient_Visits]" displayFolder="" count="0" memberValueDatatype="20" unbalanced="0"/>
    <cacheHierarchy uniqueName="[Patient_Visits].[Body_Temp (Celsius)]" caption="Body_Temp (Celsius)" attribute="1" defaultMemberUniqueName="[Patient_Visits].[Body_Temp (Celsius)].[All]" allUniqueName="[Patient_Visits].[Body_Temp (Celsius)].[All]" dimensionUniqueName="[Patient_Visits]" displayFolder="" count="0" memberValueDatatype="5" unbalanced="0"/>
    <cacheHierarchy uniqueName="[Patient_Visits].[Body_Temp_C]" caption="Body_Temp_C" attribute="1" defaultMemberUniqueName="[Patient_Visits].[Body_Temp_C].[All]" allUniqueName="[Patient_Visits].[Body_Temp_C].[All]" dimensionUniqueName="[Patient_Visits]" displayFolder="" count="0" memberValueDatatype="5" unbalanced="0"/>
    <cacheHierarchy uniqueName="[Patient_Visits].[Weight_kg]" caption="Weight_kg" attribute="1" defaultMemberUniqueName="[Patient_Visits].[Weight_kg].[All]" allUniqueName="[Patient_Visits].[Weight_kg].[All]" dimensionUniqueName="[Patient_Visits]" displayFolder="" count="0" memberValueDatatype="5" unbalanced="0"/>
    <cacheHierarchy uniqueName="[Patient_Visits].[Height_cm]" caption="Height_cm" attribute="1" defaultMemberUniqueName="[Patient_Visits].[Height_cm].[All]" allUniqueName="[Patient_Visits].[Height_cm].[All]" dimensionUniqueName="[Patient_Visits]" displayFolder="" count="0" memberValueDatatype="20" unbalanced="0"/>
    <cacheHierarchy uniqueName="[Patient_Visits].[BMI]" caption="BMI" attribute="1" defaultMemberUniqueName="[Patient_Visits].[BMI].[All]" allUniqueName="[Patient_Visits].[BMI].[All]" dimensionUniqueName="[Patient_Visits]" displayFolder="" count="0" memberValueDatatype="5" unbalanced="0"/>
    <cacheHierarchy uniqueName="[Patient_Visits].[Payment_Method]" caption="Payment_Method" attribute="1" defaultMemberUniqueName="[Patient_Visits].[Payment_Method].[All]" allUniqueName="[Patient_Visits].[Payment_Method].[All]" dimensionUniqueName="[Patient_Visits]" displayFolder="" count="0" memberValueDatatype="130" unbalanced="0"/>
    <cacheHierarchy uniqueName="[Patient_Visits].[Bill_Amount_NGN]" caption="Bill_Amount_NGN" attribute="1" defaultMemberUniqueName="[Patient_Visits].[Bill_Amount_NGN].[All]" allUniqueName="[Patient_Visits].[Bill_Amount_NGN].[All]" dimensionUniqueName="[Patient_Visits]" displayFolder="" count="0" memberValueDatatype="20" unbalanced="0"/>
    <cacheHierarchy uniqueName="[Patient_Visits].[Payment_Status (Updated)]" caption="Payment_Status (Updated)" attribute="1" defaultMemberUniqueName="[Patient_Visits].[Payment_Status (Updated)].[All]" allUniqueName="[Patient_Visits].[Payment_Status (Updated)].[All]" dimensionUniqueName="[Patient_Visits]" displayFolder="" count="0" memberValueDatatype="130" unbalanced="0"/>
    <cacheHierarchy uniqueName="[Patient_Visits].[Follow_Up_Needed]" caption="Follow_Up_Needed" attribute="1" defaultMemberUniqueName="[Patient_Visits].[Follow_Up_Needed].[All]" allUniqueName="[Patient_Visits].[Follow_Up_Needed].[All]" dimensionUniqueName="[Patient_Visits]" displayFolder="" count="0" memberValueDatatype="130" unbalanced="0"/>
    <cacheHierarchy uniqueName="[Pharmacy_Sales].[Sale_ID]" caption="Sale_ID" attribute="1" defaultMemberUniqueName="[Pharmacy_Sales].[Sale_ID].[All]" allUniqueName="[Pharmacy_Sales].[Sale_ID].[All]" dimensionUniqueName="[Pharmacy_Sales]" displayFolder="" count="0" memberValueDatatype="130" unbalanced="0"/>
    <cacheHierarchy uniqueName="[Pharmacy_Sales].[Patient_ID]" caption="Patient_ID" attribute="1" defaultMemberUniqueName="[Pharmacy_Sales].[Patient_ID].[All]" allUniqueName="[Pharmacy_Sales].[Patient_ID].[All]" dimensionUniqueName="[Pharmacy_Sales]" displayFolder="" count="0" memberValueDatatype="130" unbalanced="0"/>
    <cacheHierarchy uniqueName="[Pharmacy_Sales].[Sale_Date (Updated)]" caption="Sale_Date (Updated)" attribute="1" time="1" defaultMemberUniqueName="[Pharmacy_Sales].[Sale_Date (Updated)].[All]" allUniqueName="[Pharmacy_Sales].[Sale_Date (Updated)].[All]" dimensionUniqueName="[Pharmacy_Sales]" displayFolder="" count="0" memberValueDatatype="7" unbalanced="0"/>
    <cacheHierarchy uniqueName="[Pharmacy_Sales].[Drug_Name]" caption="Drug_Name" attribute="1" defaultMemberUniqueName="[Pharmacy_Sales].[Drug_Name].[All]" allUniqueName="[Pharmacy_Sales].[Drug_Name].[All]" dimensionUniqueName="[Pharmacy_Sales]" displayFolder="" count="0" memberValueDatatype="130" unbalanced="0"/>
    <cacheHierarchy uniqueName="[Pharmacy_Sales].[Quantity_Sold]" caption="Quantity_Sold" attribute="1" defaultMemberUniqueName="[Pharmacy_Sales].[Quantity_Sold].[All]" allUniqueName="[Pharmacy_Sales].[Quantity_Sold].[All]" dimensionUniqueName="[Pharmacy_Sales]" displayFolder="" count="0" memberValueDatatype="20" unbalanced="0"/>
    <cacheHierarchy uniqueName="[Pharmacy_Sales].[Unit_Price_NGN]" caption="Unit_Price_NGN" attribute="1" defaultMemberUniqueName="[Pharmacy_Sales].[Unit_Price_NGN].[All]" allUniqueName="[Pharmacy_Sales].[Unit_Price_NGN].[All]" dimensionUniqueName="[Pharmacy_Sales]" displayFolder="" count="0" memberValueDatatype="20" unbalanced="0"/>
    <cacheHierarchy uniqueName="[Pharmacy_Sales].[Total_Price_NGN (Updated)]" caption="Total_Price_NGN (Updated)" attribute="1" defaultMemberUniqueName="[Pharmacy_Sales].[Total_Price_NGN (Updated)].[All]" allUniqueName="[Pharmacy_Sales].[Total_Price_NGN (Updated)].[All]" dimensionUniqueName="[Pharmacy_Sales]" displayFolder="" count="0" memberValueDatatype="20" unbalanced="0"/>
    <cacheHierarchy uniqueName="[Pharmacy_Sales].[Pharmacist]" caption="Pharmacist" attribute="1" defaultMemberUniqueName="[Pharmacy_Sales].[Pharmacist].[All]" allUniqueName="[Pharmacy_Sales].[Pharmacist].[All]" dimensionUniqueName="[Pharmacy_Sales]" displayFolder="" count="0" memberValueDatatype="130" unbalanced="0"/>
    <cacheHierarchy uniqueName="[Pharmacy_Sales].[Prescription_Required]" caption="Prescription_Required" attribute="1" defaultMemberUniqueName="[Pharmacy_Sales].[Prescription_Required].[All]" allUniqueName="[Pharmacy_Sales].[Prescription_Required].[All]" dimensionUniqueName="[Pharmacy_Sales]" displayFolder="" count="0" memberValueDatatype="130" unbalanced="0"/>
    <cacheHierarchy uniqueName="[Pharmacy_Sales].[Prescription_Provided]" caption="Prescription_Provided" attribute="1" defaultMemberUniqueName="[Pharmacy_Sales].[Prescription_Provided].[All]" allUniqueName="[Pharmacy_Sales].[Prescription_Provided].[All]" dimensionUniqueName="[Pharmacy_Sales]" displayFolder="" count="0" memberValueDatatype="130" unbalanced="0"/>
    <cacheHierarchy uniqueName="[Pharmacy_Sales].[Prescription_Compliance]" caption="Prescription_Compliance" attribute="1" defaultMemberUniqueName="[Pharmacy_Sales].[Prescription_Compliance].[All]" allUniqueName="[Pharmacy_Sales].[Prescription_Compliance].[All]" dimensionUniqueName="[Pharmacy_Sales]" displayFolder="" count="0" memberValueDatatype="130" unbalanced="0"/>
    <cacheHierarchy uniqueName="[Pharmacy_Sales].[Stock_After_Sale]" caption="Stock_After_Sale" attribute="1" defaultMemberUniqueName="[Pharmacy_Sales].[Stock_After_Sale].[All]" allUniqueName="[Pharmacy_Sales].[Stock_After_Sale].[All]" dimensionUniqueName="[Pharmacy_Sales]" displayFolder="" count="0" memberValueDatatype="20" unbalanced="0"/>
    <cacheHierarchy uniqueName="[Pharmacy_Sales].[Expiry_Date]" caption="Expiry_Date" attribute="1" time="1" defaultMemberUniqueName="[Pharmacy_Sales].[Expiry_Date].[All]" allUniqueName="[Pharmacy_Sales].[Expiry_Date].[All]" dimensionUniqueName="[Pharmacy_Sales]" displayFolder="" count="0" memberValueDatatype="7" unbalanced="0"/>
    <cacheHierarchy uniqueName="[Pharmacy_Sales].[Expiry_Drug_Sold]" caption="Expiry_Drug_Sold" attribute="1" defaultMemberUniqueName="[Pharmacy_Sales].[Expiry_Drug_Sold].[All]" allUniqueName="[Pharmacy_Sales].[Expiry_Drug_Sold].[All]" dimensionUniqueName="[Pharmacy_Sales]" displayFolder="" count="0" memberValueDatatype="130" unbalanced="0"/>
    <cacheHierarchy uniqueName="[Staff_Attendance].[Record_ID]" caption="Record_ID" attribute="1" defaultMemberUniqueName="[Staff_Attendance].[Record_ID].[All]" allUniqueName="[Staff_Attendance].[Record_ID].[All]" dimensionUniqueName="[Staff_Attendance]" displayFolder="" count="0" memberValueDatatype="130" unbalanced="0"/>
    <cacheHierarchy uniqueName="[Staff_Attendance].[Staff_Name]" caption="Staff_Name" attribute="1" defaultMemberUniqueName="[Staff_Attendance].[Staff_Name].[All]" allUniqueName="[Staff_Attendance].[Staff_Name].[All]" dimensionUniqueName="[Staff_Attendance]" displayFolder="" count="0" memberValueDatatype="130" unbalanced="0"/>
    <cacheHierarchy uniqueName="[Staff_Attendance].[Staff_Role]" caption="Staff_Role" attribute="1" defaultMemberUniqueName="[Staff_Attendance].[Staff_Role].[All]" allUniqueName="[Staff_Attendance].[Staff_Role].[All]" dimensionUniqueName="[Staff_Attendance]" displayFolder="" count="0" memberValueDatatype="130" unbalanced="0"/>
    <cacheHierarchy uniqueName="[Staff_Attendance].[Department]" caption="Department" attribute="1" defaultMemberUniqueName="[Staff_Attendance].[Department].[All]" allUniqueName="[Staff_Attendance].[Department].[All]" dimensionUniqueName="[Staff_Attendance]" displayFolder="" count="0" memberValueDatatype="130" unbalanced="0"/>
    <cacheHierarchy uniqueName="[Staff_Attendance].[Date]" caption="Date" attribute="1" time="1" defaultMemberUniqueName="[Staff_Attendance].[Date].[All]" allUniqueName="[Staff_Attendance].[Date].[All]" dimensionUniqueName="[Staff_Attendance]" displayFolder="" count="2" memberValueDatatype="7" unbalanced="0">
      <fieldsUsage count="2">
        <fieldUsage x="-1"/>
        <fieldUsage x="2"/>
      </fieldsUsage>
    </cacheHierarchy>
    <cacheHierarchy uniqueName="[Staff_Attendance].[Clock_In (Updated)]" caption="Clock_In (Updated)" attribute="1" time="1" defaultMemberUniqueName="[Staff_Attendance].[Clock_In (Updated)].[All]" allUniqueName="[Staff_Attendance].[Clock_In (Updated)].[All]" dimensionUniqueName="[Staff_Attendance]" displayFolder="" count="0" memberValueDatatype="7" unbalanced="0"/>
    <cacheHierarchy uniqueName="[Staff_Attendance].[Clock_Out (Updated)]" caption="Clock_Out (Updated)" attribute="1" time="1" defaultMemberUniqueName="[Staff_Attendance].[Clock_Out (Updated)].[All]" allUniqueName="[Staff_Attendance].[Clock_Out (Updated)].[All]" dimensionUniqueName="[Staff_Attendance]" displayFolder="" count="0" memberValueDatatype="7" unbalanced="0"/>
    <cacheHierarchy uniqueName="[Staff_Attendance].[Hours_Worked (Updated)]" caption="Hours_Worked (Updated)" attribute="1" defaultMemberUniqueName="[Staff_Attendance].[Hours_Worked (Updated)].[All]" allUniqueName="[Staff_Attendance].[Hours_Worked (Updated)].[All]" dimensionUniqueName="[Staff_Attendance]" displayFolder="" count="0" memberValueDatatype="20" unbalanced="0"/>
    <cacheHierarchy uniqueName="[Staff_Attendance].[Shift_Type (Updated)]" caption="Shift_Type (Updated)" attribute="1" defaultMemberUniqueName="[Staff_Attendance].[Shift_Type (Updated)].[All]" allUniqueName="[Staff_Attendance].[Shift_Type (Updated)].[All]" dimensionUniqueName="[Staff_Attendance]" displayFolder="" count="0" memberValueDatatype="130" unbalanced="0"/>
    <cacheHierarchy uniqueName="[Staff_Attendance].[Attendance_Status (Updated)]" caption="Attendance_Status (Updated)" attribute="1" defaultMemberUniqueName="[Staff_Attendance].[Attendance_Status (Updated)].[All]" allUniqueName="[Staff_Attendance].[Attendance_Status (Updated)].[All]" dimensionUniqueName="[Staff_Attendance]" displayFolder="" count="0" memberValueDatatype="130" unbalanced="0"/>
    <cacheHierarchy uniqueName="[Measures].[__XL_Count Pharmacy_Sales]" caption="__XL_Count Pharmacy_Sales" measure="1" displayFolder="" measureGroup="Pharmacy_Sales" count="0" hidden="1"/>
    <cacheHierarchy uniqueName="[Measures].[__XL_Count Patient_Visits]" caption="__XL_Count Patient_Visits" measure="1" displayFolder="" measureGroup="Patient_Visits" count="0" hidden="1"/>
    <cacheHierarchy uniqueName="[Measures].[__XL_Count Staff_Attendance]" caption="__XL_Count Staff_Attendance" measure="1" displayFolder="" measureGroup="Staff_Attendance" count="0" hidden="1"/>
    <cacheHierarchy uniqueName="[Measures].[__No measures defined]" caption="__No measures defined" measure="1" displayFolder="" count="0" hidden="1"/>
    <cacheHierarchy uniqueName="[Measures].[Count of Patient_ID 2]" caption="Count of Patient_ID 2" measure="1" displayFolder="" measureGroup="Pharmacy_Sales" count="0" hidden="1">
      <extLst>
        <ext xmlns:x15="http://schemas.microsoft.com/office/spreadsheetml/2010/11/main" uri="{B97F6D7D-B522-45F9-BDA1-12C45D357490}">
          <x15:cacheHierarchy aggregatedColumn="24"/>
        </ext>
      </extLst>
    </cacheHierarchy>
    <cacheHierarchy uniqueName="[Measures].[Count of Visit_Date (Updated)]" caption="Count of Visit_Date (Updated)" measure="1" displayFolder="" measureGroup="Patient_Visits" count="0" hidden="1">
      <extLst>
        <ext xmlns:x15="http://schemas.microsoft.com/office/spreadsheetml/2010/11/main" uri="{B97F6D7D-B522-45F9-BDA1-12C45D357490}">
          <x15:cacheHierarchy aggregatedColumn="5"/>
        </ext>
      </extLst>
    </cacheHierarchy>
    <cacheHierarchy uniqueName="[Measures].[Count of Patient_ID]" caption="Count of Patient_ID" measure="1" displayFolder="" measureGroup="Patient_Visits" count="0" hidden="1">
      <extLst>
        <ext xmlns:x15="http://schemas.microsoft.com/office/spreadsheetml/2010/11/main" uri="{B97F6D7D-B522-45F9-BDA1-12C45D357490}">
          <x15:cacheHierarchy aggregatedColumn="0"/>
        </ext>
      </extLst>
    </cacheHierarchy>
    <cacheHierarchy uniqueName="[Measures].[Sum of Bill_Amount_NGN]" caption="Sum of Bill_Amount_NGN" measure="1" displayFolder="" measureGroup="Patient_Visits"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Bill_Amount_NGN]" caption="Average of Bill_Amount_NGN" measure="1" displayFolder="" measureGroup="Patient_Visits" count="0" hidden="1">
      <extLst>
        <ext xmlns:x15="http://schemas.microsoft.com/office/spreadsheetml/2010/11/main" uri="{B97F6D7D-B522-45F9-BDA1-12C45D357490}">
          <x15:cacheHierarchy aggregatedColumn="20"/>
        </ext>
      </extLst>
    </cacheHierarchy>
    <cacheHierarchy uniqueName="[Measures].[Sum of Total_Price_NGN (Updated)]" caption="Sum of Total_Price_NGN (Updated)" measure="1" displayFolder="" measureGroup="Pharmacy_Sales" count="0" hidden="1">
      <extLst>
        <ext xmlns:x15="http://schemas.microsoft.com/office/spreadsheetml/2010/11/main" uri="{B97F6D7D-B522-45F9-BDA1-12C45D357490}">
          <x15:cacheHierarchy aggregatedColumn="29"/>
        </ext>
      </extLst>
    </cacheHierarchy>
  </cacheHierarchies>
  <kpis count="0"/>
  <dimensions count="4">
    <dimension measure="1" name="Measures" uniqueName="[Measures]" caption="Measures"/>
    <dimension name="Patient_Visits" uniqueName="[Patient_Visits]" caption="Patient_Visits"/>
    <dimension name="Pharmacy_Sales" uniqueName="[Pharmacy_Sales]" caption="Pharmacy_Sales"/>
    <dimension name="Staff_Attendance" uniqueName="[Staff_Attendance]" caption="Staff_Attendance"/>
  </dimensions>
  <measureGroups count="3">
    <measureGroup name="Patient_Visits" caption="Patient_Visits"/>
    <measureGroup name="Pharmacy_Sales" caption="Pharmacy_Sales"/>
    <measureGroup name="Staff_Attendance" caption="Staff_Attendance"/>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5.56485023148" backgroundQuery="1" createdVersion="8" refreshedVersion="8" minRefreshableVersion="3" recordCount="0" supportSubquery="1" supportAdvancedDrill="1" xr:uid="{A25F57FD-27AA-4180-BFB0-89D4B6469964}">
  <cacheSource type="external" connectionId="4"/>
  <cacheFields count="4">
    <cacheField name="[Patient_Visits].[State].[State]" caption="State" numFmtId="0" hierarchy="4" level="1">
      <sharedItems count="8">
        <s v="Abuja"/>
        <s v="Delta"/>
        <s v="Enugu"/>
        <s v="Kaduna"/>
        <s v="Kano"/>
        <s v="Lagos"/>
        <s v="Oyo"/>
        <s v="Rivers"/>
      </sharedItems>
    </cacheField>
    <cacheField name="[Measures].[Count of Patient_ID]" caption="Count of Patient_ID" numFmtId="0" hierarchy="53" level="32767"/>
    <cacheField name="[Staff_Attendance].[Date].[Date]" caption="Date" numFmtId="0" hierarchy="41" level="1">
      <sharedItems containsSemiMixedTypes="0" containsNonDate="0" containsString="0"/>
    </cacheField>
    <cacheField name="[Patient_Visits].[Department].[Department]" caption="Department" numFmtId="0" hierarchy="8" level="1">
      <sharedItems containsSemiMixedTypes="0" containsNonDate="0" containsString="0"/>
    </cacheField>
  </cacheFields>
  <cacheHierarchies count="57">
    <cacheHierarchy uniqueName="[Patient_Visits].[Patient_ID]" caption="Patient_ID" attribute="1" defaultMemberUniqueName="[Patient_Visits].[Patient_ID].[All]" allUniqueName="[Patient_Visits].[Patient_ID].[All]" dimensionUniqueName="[Patient_Visits]" displayFolder="" count="0" memberValueDatatype="130" unbalanced="0"/>
    <cacheHierarchy uniqueName="[Patient_Visits].[Patient_Name]" caption="Patient_Name" attribute="1" defaultMemberUniqueName="[Patient_Visits].[Patient_Name].[All]" allUniqueName="[Patient_Visits].[Patient_Name].[All]" dimensionUniqueName="[Patient_Visits]" displayFolder="" count="0" memberValueDatatype="130" unbalanced="0"/>
    <cacheHierarchy uniqueName="[Patient_Visits].[Age]" caption="Age" attribute="1" defaultMemberUniqueName="[Patient_Visits].[Age].[All]" allUniqueName="[Patient_Visits].[Age].[All]" dimensionUniqueName="[Patient_Visits]" displayFolder="" count="0" memberValueDatatype="20" unbalanced="0"/>
    <cacheHierarchy uniqueName="[Patient_Visits].[Gender]" caption="Gender" attribute="1" defaultMemberUniqueName="[Patient_Visits].[Gender].[All]" allUniqueName="[Patient_Visits].[Gender].[All]" dimensionUniqueName="[Patient_Visits]" displayFolder="" count="0" memberValueDatatype="130" unbalanced="0"/>
    <cacheHierarchy uniqueName="[Patient_Visits].[State]" caption="State" attribute="1" defaultMemberUniqueName="[Patient_Visits].[State].[All]" allUniqueName="[Patient_Visits].[State].[All]" dimensionUniqueName="[Patient_Visits]" displayFolder="" count="2" memberValueDatatype="130" unbalanced="0">
      <fieldsUsage count="2">
        <fieldUsage x="-1"/>
        <fieldUsage x="0"/>
      </fieldsUsage>
    </cacheHierarchy>
    <cacheHierarchy uniqueName="[Patient_Visits].[Visit_Date (Updated)]" caption="Visit_Date (Updated)" attribute="1" defaultMemberUniqueName="[Patient_Visits].[Visit_Date (Updated)].[All]" allUniqueName="[Patient_Visits].[Visit_Date (Updated)].[All]" dimensionUniqueName="[Patient_Visits]" displayFolder="" count="0" memberValueDatatype="130" unbalanced="0"/>
    <cacheHierarchy uniqueName="[Patient_Visits].[Column1]" caption="Column1" attribute="1" defaultMemberUniqueName="[Patient_Visits].[Column1].[All]" allUniqueName="[Patient_Visits].[Column1].[All]" dimensionUniqueName="[Patient_Visits]" displayFolder="" count="0" memberValueDatatype="130" unbalanced="0"/>
    <cacheHierarchy uniqueName="[Patient_Visits].[Month]" caption="Month" attribute="1" defaultMemberUniqueName="[Patient_Visits].[Month].[All]" allUniqueName="[Patient_Visits].[Month].[All]" dimensionUniqueName="[Patient_Visits]" displayFolder="" count="0" memberValueDatatype="130" unbalanced="0"/>
    <cacheHierarchy uniqueName="[Patient_Visits].[Department]" caption="Department" attribute="1" defaultMemberUniqueName="[Patient_Visits].[Department].[All]" allUniqueName="[Patient_Visits].[Department].[All]" dimensionUniqueName="[Patient_Visits]" displayFolder="" count="2" memberValueDatatype="130" unbalanced="0">
      <fieldsUsage count="2">
        <fieldUsage x="-1"/>
        <fieldUsage x="3"/>
      </fieldsUsage>
    </cacheHierarchy>
    <cacheHierarchy uniqueName="[Patient_Visits].[Doctor_Name]" caption="Doctor_Name" attribute="1" defaultMemberUniqueName="[Patient_Visits].[Doctor_Name].[All]" allUniqueName="[Patient_Visits].[Doctor_Name].[All]" dimensionUniqueName="[Patient_Visits]" displayFolder="" count="0" memberValueDatatype="130" unbalanced="0"/>
    <cacheHierarchy uniqueName="[Patient_Visits].[Diagnosis]" caption="Diagnosis" attribute="1" defaultMemberUniqueName="[Patient_Visits].[Diagnosis].[All]" allUniqueName="[Patient_Visits].[Diagnosis].[All]" dimensionUniqueName="[Patient_Visits]" displayFolder="" count="0" memberValueDatatype="130" unbalanced="0"/>
    <cacheHierarchy uniqueName="[Patient_Visits].[Visit_Type]" caption="Visit_Type" attribute="1" defaultMemberUniqueName="[Patient_Visits].[Visit_Type].[All]" allUniqueName="[Patient_Visits].[Visit_Type].[All]" dimensionUniqueName="[Patient_Visits]" displayFolder="" count="0" memberValueDatatype="130" unbalanced="0"/>
    <cacheHierarchy uniqueName="[Patient_Visits].[Blood_Pressure (Updated)]" caption="Blood_Pressure (Updated)" attribute="1" defaultMemberUniqueName="[Patient_Visits].[Blood_Pressure (Updated)].[All]" allUniqueName="[Patient_Visits].[Blood_Pressure (Updated)].[All]" dimensionUniqueName="[Patient_Visits]" displayFolder="" count="0" memberValueDatatype="130" unbalanced="0"/>
    <cacheHierarchy uniqueName="[Patient_Visits].[Heart_Rate_bpm]" caption="Heart_Rate_bpm" attribute="1" defaultMemberUniqueName="[Patient_Visits].[Heart_Rate_bpm].[All]" allUniqueName="[Patient_Visits].[Heart_Rate_bpm].[All]" dimensionUniqueName="[Patient_Visits]" displayFolder="" count="0" memberValueDatatype="20" unbalanced="0"/>
    <cacheHierarchy uniqueName="[Patient_Visits].[Body_Temp (Celsius)]" caption="Body_Temp (Celsius)" attribute="1" defaultMemberUniqueName="[Patient_Visits].[Body_Temp (Celsius)].[All]" allUniqueName="[Patient_Visits].[Body_Temp (Celsius)].[All]" dimensionUniqueName="[Patient_Visits]" displayFolder="" count="0" memberValueDatatype="5" unbalanced="0"/>
    <cacheHierarchy uniqueName="[Patient_Visits].[Body_Temp_C]" caption="Body_Temp_C" attribute="1" defaultMemberUniqueName="[Patient_Visits].[Body_Temp_C].[All]" allUniqueName="[Patient_Visits].[Body_Temp_C].[All]" dimensionUniqueName="[Patient_Visits]" displayFolder="" count="0" memberValueDatatype="5" unbalanced="0"/>
    <cacheHierarchy uniqueName="[Patient_Visits].[Weight_kg]" caption="Weight_kg" attribute="1" defaultMemberUniqueName="[Patient_Visits].[Weight_kg].[All]" allUniqueName="[Patient_Visits].[Weight_kg].[All]" dimensionUniqueName="[Patient_Visits]" displayFolder="" count="0" memberValueDatatype="5" unbalanced="0"/>
    <cacheHierarchy uniqueName="[Patient_Visits].[Height_cm]" caption="Height_cm" attribute="1" defaultMemberUniqueName="[Patient_Visits].[Height_cm].[All]" allUniqueName="[Patient_Visits].[Height_cm].[All]" dimensionUniqueName="[Patient_Visits]" displayFolder="" count="0" memberValueDatatype="20" unbalanced="0"/>
    <cacheHierarchy uniqueName="[Patient_Visits].[BMI]" caption="BMI" attribute="1" defaultMemberUniqueName="[Patient_Visits].[BMI].[All]" allUniqueName="[Patient_Visits].[BMI].[All]" dimensionUniqueName="[Patient_Visits]" displayFolder="" count="0" memberValueDatatype="5" unbalanced="0"/>
    <cacheHierarchy uniqueName="[Patient_Visits].[Payment_Method]" caption="Payment_Method" attribute="1" defaultMemberUniqueName="[Patient_Visits].[Payment_Method].[All]" allUniqueName="[Patient_Visits].[Payment_Method].[All]" dimensionUniqueName="[Patient_Visits]" displayFolder="" count="0" memberValueDatatype="130" unbalanced="0"/>
    <cacheHierarchy uniqueName="[Patient_Visits].[Bill_Amount_NGN]" caption="Bill_Amount_NGN" attribute="1" defaultMemberUniqueName="[Patient_Visits].[Bill_Amount_NGN].[All]" allUniqueName="[Patient_Visits].[Bill_Amount_NGN].[All]" dimensionUniqueName="[Patient_Visits]" displayFolder="" count="0" memberValueDatatype="20" unbalanced="0"/>
    <cacheHierarchy uniqueName="[Patient_Visits].[Payment_Status (Updated)]" caption="Payment_Status (Updated)" attribute="1" defaultMemberUniqueName="[Patient_Visits].[Payment_Status (Updated)].[All]" allUniqueName="[Patient_Visits].[Payment_Status (Updated)].[All]" dimensionUniqueName="[Patient_Visits]" displayFolder="" count="0" memberValueDatatype="130" unbalanced="0"/>
    <cacheHierarchy uniqueName="[Patient_Visits].[Follow_Up_Needed]" caption="Follow_Up_Needed" attribute="1" defaultMemberUniqueName="[Patient_Visits].[Follow_Up_Needed].[All]" allUniqueName="[Patient_Visits].[Follow_Up_Needed].[All]" dimensionUniqueName="[Patient_Visits]" displayFolder="" count="0" memberValueDatatype="130" unbalanced="0"/>
    <cacheHierarchy uniqueName="[Pharmacy_Sales].[Sale_ID]" caption="Sale_ID" attribute="1" defaultMemberUniqueName="[Pharmacy_Sales].[Sale_ID].[All]" allUniqueName="[Pharmacy_Sales].[Sale_ID].[All]" dimensionUniqueName="[Pharmacy_Sales]" displayFolder="" count="0" memberValueDatatype="130" unbalanced="0"/>
    <cacheHierarchy uniqueName="[Pharmacy_Sales].[Patient_ID]" caption="Patient_ID" attribute="1" defaultMemberUniqueName="[Pharmacy_Sales].[Patient_ID].[All]" allUniqueName="[Pharmacy_Sales].[Patient_ID].[All]" dimensionUniqueName="[Pharmacy_Sales]" displayFolder="" count="0" memberValueDatatype="130" unbalanced="0"/>
    <cacheHierarchy uniqueName="[Pharmacy_Sales].[Sale_Date (Updated)]" caption="Sale_Date (Updated)" attribute="1" time="1" defaultMemberUniqueName="[Pharmacy_Sales].[Sale_Date (Updated)].[All]" allUniqueName="[Pharmacy_Sales].[Sale_Date (Updated)].[All]" dimensionUniqueName="[Pharmacy_Sales]" displayFolder="" count="0" memberValueDatatype="7" unbalanced="0"/>
    <cacheHierarchy uniqueName="[Pharmacy_Sales].[Drug_Name]" caption="Drug_Name" attribute="1" defaultMemberUniqueName="[Pharmacy_Sales].[Drug_Name].[All]" allUniqueName="[Pharmacy_Sales].[Drug_Name].[All]" dimensionUniqueName="[Pharmacy_Sales]" displayFolder="" count="0" memberValueDatatype="130" unbalanced="0"/>
    <cacheHierarchy uniqueName="[Pharmacy_Sales].[Quantity_Sold]" caption="Quantity_Sold" attribute="1" defaultMemberUniqueName="[Pharmacy_Sales].[Quantity_Sold].[All]" allUniqueName="[Pharmacy_Sales].[Quantity_Sold].[All]" dimensionUniqueName="[Pharmacy_Sales]" displayFolder="" count="0" memberValueDatatype="20" unbalanced="0"/>
    <cacheHierarchy uniqueName="[Pharmacy_Sales].[Unit_Price_NGN]" caption="Unit_Price_NGN" attribute="1" defaultMemberUniqueName="[Pharmacy_Sales].[Unit_Price_NGN].[All]" allUniqueName="[Pharmacy_Sales].[Unit_Price_NGN].[All]" dimensionUniqueName="[Pharmacy_Sales]" displayFolder="" count="0" memberValueDatatype="20" unbalanced="0"/>
    <cacheHierarchy uniqueName="[Pharmacy_Sales].[Total_Price_NGN (Updated)]" caption="Total_Price_NGN (Updated)" attribute="1" defaultMemberUniqueName="[Pharmacy_Sales].[Total_Price_NGN (Updated)].[All]" allUniqueName="[Pharmacy_Sales].[Total_Price_NGN (Updated)].[All]" dimensionUniqueName="[Pharmacy_Sales]" displayFolder="" count="0" memberValueDatatype="20" unbalanced="0"/>
    <cacheHierarchy uniqueName="[Pharmacy_Sales].[Pharmacist]" caption="Pharmacist" attribute="1" defaultMemberUniqueName="[Pharmacy_Sales].[Pharmacist].[All]" allUniqueName="[Pharmacy_Sales].[Pharmacist].[All]" dimensionUniqueName="[Pharmacy_Sales]" displayFolder="" count="0" memberValueDatatype="130" unbalanced="0"/>
    <cacheHierarchy uniqueName="[Pharmacy_Sales].[Prescription_Required]" caption="Prescription_Required" attribute="1" defaultMemberUniqueName="[Pharmacy_Sales].[Prescription_Required].[All]" allUniqueName="[Pharmacy_Sales].[Prescription_Required].[All]" dimensionUniqueName="[Pharmacy_Sales]" displayFolder="" count="0" memberValueDatatype="130" unbalanced="0"/>
    <cacheHierarchy uniqueName="[Pharmacy_Sales].[Prescription_Provided]" caption="Prescription_Provided" attribute="1" defaultMemberUniqueName="[Pharmacy_Sales].[Prescription_Provided].[All]" allUniqueName="[Pharmacy_Sales].[Prescription_Provided].[All]" dimensionUniqueName="[Pharmacy_Sales]" displayFolder="" count="0" memberValueDatatype="130" unbalanced="0"/>
    <cacheHierarchy uniqueName="[Pharmacy_Sales].[Prescription_Compliance]" caption="Prescription_Compliance" attribute="1" defaultMemberUniqueName="[Pharmacy_Sales].[Prescription_Compliance].[All]" allUniqueName="[Pharmacy_Sales].[Prescription_Compliance].[All]" dimensionUniqueName="[Pharmacy_Sales]" displayFolder="" count="0" memberValueDatatype="130" unbalanced="0"/>
    <cacheHierarchy uniqueName="[Pharmacy_Sales].[Stock_After_Sale]" caption="Stock_After_Sale" attribute="1" defaultMemberUniqueName="[Pharmacy_Sales].[Stock_After_Sale].[All]" allUniqueName="[Pharmacy_Sales].[Stock_After_Sale].[All]" dimensionUniqueName="[Pharmacy_Sales]" displayFolder="" count="0" memberValueDatatype="20" unbalanced="0"/>
    <cacheHierarchy uniqueName="[Pharmacy_Sales].[Expiry_Date]" caption="Expiry_Date" attribute="1" time="1" defaultMemberUniqueName="[Pharmacy_Sales].[Expiry_Date].[All]" allUniqueName="[Pharmacy_Sales].[Expiry_Date].[All]" dimensionUniqueName="[Pharmacy_Sales]" displayFolder="" count="0" memberValueDatatype="7" unbalanced="0"/>
    <cacheHierarchy uniqueName="[Pharmacy_Sales].[Expiry_Drug_Sold]" caption="Expiry_Drug_Sold" attribute="1" defaultMemberUniqueName="[Pharmacy_Sales].[Expiry_Drug_Sold].[All]" allUniqueName="[Pharmacy_Sales].[Expiry_Drug_Sold].[All]" dimensionUniqueName="[Pharmacy_Sales]" displayFolder="" count="0" memberValueDatatype="130" unbalanced="0"/>
    <cacheHierarchy uniqueName="[Staff_Attendance].[Record_ID]" caption="Record_ID" attribute="1" defaultMemberUniqueName="[Staff_Attendance].[Record_ID].[All]" allUniqueName="[Staff_Attendance].[Record_ID].[All]" dimensionUniqueName="[Staff_Attendance]" displayFolder="" count="0" memberValueDatatype="130" unbalanced="0"/>
    <cacheHierarchy uniqueName="[Staff_Attendance].[Staff_Name]" caption="Staff_Name" attribute="1" defaultMemberUniqueName="[Staff_Attendance].[Staff_Name].[All]" allUniqueName="[Staff_Attendance].[Staff_Name].[All]" dimensionUniqueName="[Staff_Attendance]" displayFolder="" count="0" memberValueDatatype="130" unbalanced="0"/>
    <cacheHierarchy uniqueName="[Staff_Attendance].[Staff_Role]" caption="Staff_Role" attribute="1" defaultMemberUniqueName="[Staff_Attendance].[Staff_Role].[All]" allUniqueName="[Staff_Attendance].[Staff_Role].[All]" dimensionUniqueName="[Staff_Attendance]" displayFolder="" count="0" memberValueDatatype="130" unbalanced="0"/>
    <cacheHierarchy uniqueName="[Staff_Attendance].[Department]" caption="Department" attribute="1" defaultMemberUniqueName="[Staff_Attendance].[Department].[All]" allUniqueName="[Staff_Attendance].[Department].[All]" dimensionUniqueName="[Staff_Attendance]" displayFolder="" count="0" memberValueDatatype="130" unbalanced="0"/>
    <cacheHierarchy uniqueName="[Staff_Attendance].[Date]" caption="Date" attribute="1" time="1" defaultMemberUniqueName="[Staff_Attendance].[Date].[All]" allUniqueName="[Staff_Attendance].[Date].[All]" dimensionUniqueName="[Staff_Attendance]" displayFolder="" count="2" memberValueDatatype="7" unbalanced="0">
      <fieldsUsage count="2">
        <fieldUsage x="-1"/>
        <fieldUsage x="2"/>
      </fieldsUsage>
    </cacheHierarchy>
    <cacheHierarchy uniqueName="[Staff_Attendance].[Clock_In (Updated)]" caption="Clock_In (Updated)" attribute="1" time="1" defaultMemberUniqueName="[Staff_Attendance].[Clock_In (Updated)].[All]" allUniqueName="[Staff_Attendance].[Clock_In (Updated)].[All]" dimensionUniqueName="[Staff_Attendance]" displayFolder="" count="0" memberValueDatatype="7" unbalanced="0"/>
    <cacheHierarchy uniqueName="[Staff_Attendance].[Clock_Out (Updated)]" caption="Clock_Out (Updated)" attribute="1" time="1" defaultMemberUniqueName="[Staff_Attendance].[Clock_Out (Updated)].[All]" allUniqueName="[Staff_Attendance].[Clock_Out (Updated)].[All]" dimensionUniqueName="[Staff_Attendance]" displayFolder="" count="0" memberValueDatatype="7" unbalanced="0"/>
    <cacheHierarchy uniqueName="[Staff_Attendance].[Hours_Worked (Updated)]" caption="Hours_Worked (Updated)" attribute="1" defaultMemberUniqueName="[Staff_Attendance].[Hours_Worked (Updated)].[All]" allUniqueName="[Staff_Attendance].[Hours_Worked (Updated)].[All]" dimensionUniqueName="[Staff_Attendance]" displayFolder="" count="0" memberValueDatatype="20" unbalanced="0"/>
    <cacheHierarchy uniqueName="[Staff_Attendance].[Shift_Type (Updated)]" caption="Shift_Type (Updated)" attribute="1" defaultMemberUniqueName="[Staff_Attendance].[Shift_Type (Updated)].[All]" allUniqueName="[Staff_Attendance].[Shift_Type (Updated)].[All]" dimensionUniqueName="[Staff_Attendance]" displayFolder="" count="0" memberValueDatatype="130" unbalanced="0"/>
    <cacheHierarchy uniqueName="[Staff_Attendance].[Attendance_Status (Updated)]" caption="Attendance_Status (Updated)" attribute="1" defaultMemberUniqueName="[Staff_Attendance].[Attendance_Status (Updated)].[All]" allUniqueName="[Staff_Attendance].[Attendance_Status (Updated)].[All]" dimensionUniqueName="[Staff_Attendance]" displayFolder="" count="0" memberValueDatatype="130" unbalanced="0"/>
    <cacheHierarchy uniqueName="[Measures].[__XL_Count Pharmacy_Sales]" caption="__XL_Count Pharmacy_Sales" measure="1" displayFolder="" measureGroup="Pharmacy_Sales" count="0" hidden="1"/>
    <cacheHierarchy uniqueName="[Measures].[__XL_Count Patient_Visits]" caption="__XL_Count Patient_Visits" measure="1" displayFolder="" measureGroup="Patient_Visits" count="0" hidden="1"/>
    <cacheHierarchy uniqueName="[Measures].[__XL_Count Staff_Attendance]" caption="__XL_Count Staff_Attendance" measure="1" displayFolder="" measureGroup="Staff_Attendance" count="0" hidden="1"/>
    <cacheHierarchy uniqueName="[Measures].[__No measures defined]" caption="__No measures defined" measure="1" displayFolder="" count="0" hidden="1"/>
    <cacheHierarchy uniqueName="[Measures].[Count of Patient_ID 2]" caption="Count of Patient_ID 2" measure="1" displayFolder="" measureGroup="Pharmacy_Sales" count="0" hidden="1">
      <extLst>
        <ext xmlns:x15="http://schemas.microsoft.com/office/spreadsheetml/2010/11/main" uri="{B97F6D7D-B522-45F9-BDA1-12C45D357490}">
          <x15:cacheHierarchy aggregatedColumn="24"/>
        </ext>
      </extLst>
    </cacheHierarchy>
    <cacheHierarchy uniqueName="[Measures].[Count of Visit_Date (Updated)]" caption="Count of Visit_Date (Updated)" measure="1" displayFolder="" measureGroup="Patient_Visits" count="0" hidden="1">
      <extLst>
        <ext xmlns:x15="http://schemas.microsoft.com/office/spreadsheetml/2010/11/main" uri="{B97F6D7D-B522-45F9-BDA1-12C45D357490}">
          <x15:cacheHierarchy aggregatedColumn="5"/>
        </ext>
      </extLst>
    </cacheHierarchy>
    <cacheHierarchy uniqueName="[Measures].[Count of Patient_ID]" caption="Count of Patient_ID" measure="1" displayFolder="" measureGroup="Patient_Visit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Bill_Amount_NGN]" caption="Sum of Bill_Amount_NGN" measure="1" displayFolder="" measureGroup="Patient_Visits" count="0" hidden="1">
      <extLst>
        <ext xmlns:x15="http://schemas.microsoft.com/office/spreadsheetml/2010/11/main" uri="{B97F6D7D-B522-45F9-BDA1-12C45D357490}">
          <x15:cacheHierarchy aggregatedColumn="20"/>
        </ext>
      </extLst>
    </cacheHierarchy>
    <cacheHierarchy uniqueName="[Measures].[Average of Bill_Amount_NGN]" caption="Average of Bill_Amount_NGN" measure="1" displayFolder="" measureGroup="Patient_Visits" count="0" hidden="1">
      <extLst>
        <ext xmlns:x15="http://schemas.microsoft.com/office/spreadsheetml/2010/11/main" uri="{B97F6D7D-B522-45F9-BDA1-12C45D357490}">
          <x15:cacheHierarchy aggregatedColumn="20"/>
        </ext>
      </extLst>
    </cacheHierarchy>
    <cacheHierarchy uniqueName="[Measures].[Sum of Total_Price_NGN (Updated)]" caption="Sum of Total_Price_NGN (Updated)" measure="1" displayFolder="" measureGroup="Pharmacy_Sales" count="0" hidden="1">
      <extLst>
        <ext xmlns:x15="http://schemas.microsoft.com/office/spreadsheetml/2010/11/main" uri="{B97F6D7D-B522-45F9-BDA1-12C45D357490}">
          <x15:cacheHierarchy aggregatedColumn="29"/>
        </ext>
      </extLst>
    </cacheHierarchy>
  </cacheHierarchies>
  <kpis count="0"/>
  <dimensions count="4">
    <dimension measure="1" name="Measures" uniqueName="[Measures]" caption="Measures"/>
    <dimension name="Patient_Visits" uniqueName="[Patient_Visits]" caption="Patient_Visits"/>
    <dimension name="Pharmacy_Sales" uniqueName="[Pharmacy_Sales]" caption="Pharmacy_Sales"/>
    <dimension name="Staff_Attendance" uniqueName="[Staff_Attendance]" caption="Staff_Attendance"/>
  </dimensions>
  <measureGroups count="3">
    <measureGroup name="Patient_Visits" caption="Patient_Visits"/>
    <measureGroup name="Pharmacy_Sales" caption="Pharmacy_Sales"/>
    <measureGroup name="Staff_Attendance" caption="Staff_Attendance"/>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5.564851967596" backgroundQuery="1" createdVersion="8" refreshedVersion="8" minRefreshableVersion="3" recordCount="0" supportSubquery="1" supportAdvancedDrill="1" xr:uid="{CEBDC1D8-93EC-4555-8D21-0489A5DC55C9}">
  <cacheSource type="external" connectionId="4"/>
  <cacheFields count="6">
    <cacheField name="[Measures].[Count of Patient_ID]" caption="Count of Patient_ID" numFmtId="0" hierarchy="53" level="32767"/>
    <cacheField name="[Patient_Visits].[Payment_Method].[Payment_Method]" caption="Payment_Method" numFmtId="0" hierarchy="19" level="1">
      <sharedItems count="5">
        <s v="Bank Transfer"/>
        <s v="Cash"/>
        <s v="HMO"/>
        <s v="NHIS"/>
        <s v="POS"/>
      </sharedItems>
    </cacheField>
    <cacheField name="[Patient_Visits].[Payment_Status (Updated)].[Payment_Status (Updated)]" caption="Payment_Status (Updated)" numFmtId="0" hierarchy="21" level="1">
      <sharedItems count="4">
        <s v="Paid"/>
        <s v="Pending"/>
        <s v="Unpaid"/>
        <s v="Waived"/>
      </sharedItems>
    </cacheField>
    <cacheField name="[Staff_Attendance].[Date].[Date]" caption="Date" numFmtId="0" hierarchy="41" level="1">
      <sharedItems containsSemiMixedTypes="0" containsNonDate="0" containsString="0"/>
    </cacheField>
    <cacheField name="[Patient_Visits].[Department].[Department]" caption="Department" numFmtId="0" hierarchy="8" level="1">
      <sharedItems containsSemiMixedTypes="0" containsNonDate="0" containsString="0"/>
    </cacheField>
    <cacheField name="[Patient_Visits].[State].[State]" caption="State" numFmtId="0" hierarchy="4" level="1">
      <sharedItems containsSemiMixedTypes="0" containsNonDate="0" containsString="0"/>
    </cacheField>
  </cacheFields>
  <cacheHierarchies count="57">
    <cacheHierarchy uniqueName="[Patient_Visits].[Patient_ID]" caption="Patient_ID" attribute="1" defaultMemberUniqueName="[Patient_Visits].[Patient_ID].[All]" allUniqueName="[Patient_Visits].[Patient_ID].[All]" dimensionUniqueName="[Patient_Visits]" displayFolder="" count="0" memberValueDatatype="130" unbalanced="0"/>
    <cacheHierarchy uniqueName="[Patient_Visits].[Patient_Name]" caption="Patient_Name" attribute="1" defaultMemberUniqueName="[Patient_Visits].[Patient_Name].[All]" allUniqueName="[Patient_Visits].[Patient_Name].[All]" dimensionUniqueName="[Patient_Visits]" displayFolder="" count="0" memberValueDatatype="130" unbalanced="0"/>
    <cacheHierarchy uniqueName="[Patient_Visits].[Age]" caption="Age" attribute="1" defaultMemberUniqueName="[Patient_Visits].[Age].[All]" allUniqueName="[Patient_Visits].[Age].[All]" dimensionUniqueName="[Patient_Visits]" displayFolder="" count="0" memberValueDatatype="20" unbalanced="0"/>
    <cacheHierarchy uniqueName="[Patient_Visits].[Gender]" caption="Gender" attribute="1" defaultMemberUniqueName="[Patient_Visits].[Gender].[All]" allUniqueName="[Patient_Visits].[Gender].[All]" dimensionUniqueName="[Patient_Visits]" displayFolder="" count="0" memberValueDatatype="130" unbalanced="0"/>
    <cacheHierarchy uniqueName="[Patient_Visits].[State]" caption="State" attribute="1" defaultMemberUniqueName="[Patient_Visits].[State].[All]" allUniqueName="[Patient_Visits].[State].[All]" dimensionUniqueName="[Patient_Visits]" displayFolder="" count="2" memberValueDatatype="130" unbalanced="0">
      <fieldsUsage count="2">
        <fieldUsage x="-1"/>
        <fieldUsage x="5"/>
      </fieldsUsage>
    </cacheHierarchy>
    <cacheHierarchy uniqueName="[Patient_Visits].[Visit_Date (Updated)]" caption="Visit_Date (Updated)" attribute="1" defaultMemberUniqueName="[Patient_Visits].[Visit_Date (Updated)].[All]" allUniqueName="[Patient_Visits].[Visit_Date (Updated)].[All]" dimensionUniqueName="[Patient_Visits]" displayFolder="" count="0" memberValueDatatype="130" unbalanced="0"/>
    <cacheHierarchy uniqueName="[Patient_Visits].[Column1]" caption="Column1" attribute="1" defaultMemberUniqueName="[Patient_Visits].[Column1].[All]" allUniqueName="[Patient_Visits].[Column1].[All]" dimensionUniqueName="[Patient_Visits]" displayFolder="" count="0" memberValueDatatype="130" unbalanced="0"/>
    <cacheHierarchy uniqueName="[Patient_Visits].[Month]" caption="Month" attribute="1" defaultMemberUniqueName="[Patient_Visits].[Month].[All]" allUniqueName="[Patient_Visits].[Month].[All]" dimensionUniqueName="[Patient_Visits]" displayFolder="" count="0" memberValueDatatype="130" unbalanced="0"/>
    <cacheHierarchy uniqueName="[Patient_Visits].[Department]" caption="Department" attribute="1" defaultMemberUniqueName="[Patient_Visits].[Department].[All]" allUniqueName="[Patient_Visits].[Department].[All]" dimensionUniqueName="[Patient_Visits]" displayFolder="" count="2" memberValueDatatype="130" unbalanced="0">
      <fieldsUsage count="2">
        <fieldUsage x="-1"/>
        <fieldUsage x="4"/>
      </fieldsUsage>
    </cacheHierarchy>
    <cacheHierarchy uniqueName="[Patient_Visits].[Doctor_Name]" caption="Doctor_Name" attribute="1" defaultMemberUniqueName="[Patient_Visits].[Doctor_Name].[All]" allUniqueName="[Patient_Visits].[Doctor_Name].[All]" dimensionUniqueName="[Patient_Visits]" displayFolder="" count="0" memberValueDatatype="130" unbalanced="0"/>
    <cacheHierarchy uniqueName="[Patient_Visits].[Diagnosis]" caption="Diagnosis" attribute="1" defaultMemberUniqueName="[Patient_Visits].[Diagnosis].[All]" allUniqueName="[Patient_Visits].[Diagnosis].[All]" dimensionUniqueName="[Patient_Visits]" displayFolder="" count="0" memberValueDatatype="130" unbalanced="0"/>
    <cacheHierarchy uniqueName="[Patient_Visits].[Visit_Type]" caption="Visit_Type" attribute="1" defaultMemberUniqueName="[Patient_Visits].[Visit_Type].[All]" allUniqueName="[Patient_Visits].[Visit_Type].[All]" dimensionUniqueName="[Patient_Visits]" displayFolder="" count="0" memberValueDatatype="130" unbalanced="0"/>
    <cacheHierarchy uniqueName="[Patient_Visits].[Blood_Pressure (Updated)]" caption="Blood_Pressure (Updated)" attribute="1" defaultMemberUniqueName="[Patient_Visits].[Blood_Pressure (Updated)].[All]" allUniqueName="[Patient_Visits].[Blood_Pressure (Updated)].[All]" dimensionUniqueName="[Patient_Visits]" displayFolder="" count="0" memberValueDatatype="130" unbalanced="0"/>
    <cacheHierarchy uniqueName="[Patient_Visits].[Heart_Rate_bpm]" caption="Heart_Rate_bpm" attribute="1" defaultMemberUniqueName="[Patient_Visits].[Heart_Rate_bpm].[All]" allUniqueName="[Patient_Visits].[Heart_Rate_bpm].[All]" dimensionUniqueName="[Patient_Visits]" displayFolder="" count="0" memberValueDatatype="20" unbalanced="0"/>
    <cacheHierarchy uniqueName="[Patient_Visits].[Body_Temp (Celsius)]" caption="Body_Temp (Celsius)" attribute="1" defaultMemberUniqueName="[Patient_Visits].[Body_Temp (Celsius)].[All]" allUniqueName="[Patient_Visits].[Body_Temp (Celsius)].[All]" dimensionUniqueName="[Patient_Visits]" displayFolder="" count="0" memberValueDatatype="5" unbalanced="0"/>
    <cacheHierarchy uniqueName="[Patient_Visits].[Body_Temp_C]" caption="Body_Temp_C" attribute="1" defaultMemberUniqueName="[Patient_Visits].[Body_Temp_C].[All]" allUniqueName="[Patient_Visits].[Body_Temp_C].[All]" dimensionUniqueName="[Patient_Visits]" displayFolder="" count="0" memberValueDatatype="5" unbalanced="0"/>
    <cacheHierarchy uniqueName="[Patient_Visits].[Weight_kg]" caption="Weight_kg" attribute="1" defaultMemberUniqueName="[Patient_Visits].[Weight_kg].[All]" allUniqueName="[Patient_Visits].[Weight_kg].[All]" dimensionUniqueName="[Patient_Visits]" displayFolder="" count="0" memberValueDatatype="5" unbalanced="0"/>
    <cacheHierarchy uniqueName="[Patient_Visits].[Height_cm]" caption="Height_cm" attribute="1" defaultMemberUniqueName="[Patient_Visits].[Height_cm].[All]" allUniqueName="[Patient_Visits].[Height_cm].[All]" dimensionUniqueName="[Patient_Visits]" displayFolder="" count="0" memberValueDatatype="20" unbalanced="0"/>
    <cacheHierarchy uniqueName="[Patient_Visits].[BMI]" caption="BMI" attribute="1" defaultMemberUniqueName="[Patient_Visits].[BMI].[All]" allUniqueName="[Patient_Visits].[BMI].[All]" dimensionUniqueName="[Patient_Visits]" displayFolder="" count="0" memberValueDatatype="5" unbalanced="0"/>
    <cacheHierarchy uniqueName="[Patient_Visits].[Payment_Method]" caption="Payment_Method" attribute="1" defaultMemberUniqueName="[Patient_Visits].[Payment_Method].[All]" allUniqueName="[Patient_Visits].[Payment_Method].[All]" dimensionUniqueName="[Patient_Visits]" displayFolder="" count="2" memberValueDatatype="130" unbalanced="0">
      <fieldsUsage count="2">
        <fieldUsage x="-1"/>
        <fieldUsage x="1"/>
      </fieldsUsage>
    </cacheHierarchy>
    <cacheHierarchy uniqueName="[Patient_Visits].[Bill_Amount_NGN]" caption="Bill_Amount_NGN" attribute="1" defaultMemberUniqueName="[Patient_Visits].[Bill_Amount_NGN].[All]" allUniqueName="[Patient_Visits].[Bill_Amount_NGN].[All]" dimensionUniqueName="[Patient_Visits]" displayFolder="" count="0" memberValueDatatype="20" unbalanced="0"/>
    <cacheHierarchy uniqueName="[Patient_Visits].[Payment_Status (Updated)]" caption="Payment_Status (Updated)" attribute="1" defaultMemberUniqueName="[Patient_Visits].[Payment_Status (Updated)].[All]" allUniqueName="[Patient_Visits].[Payment_Status (Updated)].[All]" dimensionUniqueName="[Patient_Visits]" displayFolder="" count="2" memberValueDatatype="130" unbalanced="0">
      <fieldsUsage count="2">
        <fieldUsage x="-1"/>
        <fieldUsage x="2"/>
      </fieldsUsage>
    </cacheHierarchy>
    <cacheHierarchy uniqueName="[Patient_Visits].[Follow_Up_Needed]" caption="Follow_Up_Needed" attribute="1" defaultMemberUniqueName="[Patient_Visits].[Follow_Up_Needed].[All]" allUniqueName="[Patient_Visits].[Follow_Up_Needed].[All]" dimensionUniqueName="[Patient_Visits]" displayFolder="" count="0" memberValueDatatype="130" unbalanced="0"/>
    <cacheHierarchy uniqueName="[Pharmacy_Sales].[Sale_ID]" caption="Sale_ID" attribute="1" defaultMemberUniqueName="[Pharmacy_Sales].[Sale_ID].[All]" allUniqueName="[Pharmacy_Sales].[Sale_ID].[All]" dimensionUniqueName="[Pharmacy_Sales]" displayFolder="" count="0" memberValueDatatype="130" unbalanced="0"/>
    <cacheHierarchy uniqueName="[Pharmacy_Sales].[Patient_ID]" caption="Patient_ID" attribute="1" defaultMemberUniqueName="[Pharmacy_Sales].[Patient_ID].[All]" allUniqueName="[Pharmacy_Sales].[Patient_ID].[All]" dimensionUniqueName="[Pharmacy_Sales]" displayFolder="" count="0" memberValueDatatype="130" unbalanced="0"/>
    <cacheHierarchy uniqueName="[Pharmacy_Sales].[Sale_Date (Updated)]" caption="Sale_Date (Updated)" attribute="1" time="1" defaultMemberUniqueName="[Pharmacy_Sales].[Sale_Date (Updated)].[All]" allUniqueName="[Pharmacy_Sales].[Sale_Date (Updated)].[All]" dimensionUniqueName="[Pharmacy_Sales]" displayFolder="" count="0" memberValueDatatype="7" unbalanced="0"/>
    <cacheHierarchy uniqueName="[Pharmacy_Sales].[Drug_Name]" caption="Drug_Name" attribute="1" defaultMemberUniqueName="[Pharmacy_Sales].[Drug_Name].[All]" allUniqueName="[Pharmacy_Sales].[Drug_Name].[All]" dimensionUniqueName="[Pharmacy_Sales]" displayFolder="" count="0" memberValueDatatype="130" unbalanced="0"/>
    <cacheHierarchy uniqueName="[Pharmacy_Sales].[Quantity_Sold]" caption="Quantity_Sold" attribute="1" defaultMemberUniqueName="[Pharmacy_Sales].[Quantity_Sold].[All]" allUniqueName="[Pharmacy_Sales].[Quantity_Sold].[All]" dimensionUniqueName="[Pharmacy_Sales]" displayFolder="" count="0" memberValueDatatype="20" unbalanced="0"/>
    <cacheHierarchy uniqueName="[Pharmacy_Sales].[Unit_Price_NGN]" caption="Unit_Price_NGN" attribute="1" defaultMemberUniqueName="[Pharmacy_Sales].[Unit_Price_NGN].[All]" allUniqueName="[Pharmacy_Sales].[Unit_Price_NGN].[All]" dimensionUniqueName="[Pharmacy_Sales]" displayFolder="" count="0" memberValueDatatype="20" unbalanced="0"/>
    <cacheHierarchy uniqueName="[Pharmacy_Sales].[Total_Price_NGN (Updated)]" caption="Total_Price_NGN (Updated)" attribute="1" defaultMemberUniqueName="[Pharmacy_Sales].[Total_Price_NGN (Updated)].[All]" allUniqueName="[Pharmacy_Sales].[Total_Price_NGN (Updated)].[All]" dimensionUniqueName="[Pharmacy_Sales]" displayFolder="" count="0" memberValueDatatype="20" unbalanced="0"/>
    <cacheHierarchy uniqueName="[Pharmacy_Sales].[Pharmacist]" caption="Pharmacist" attribute="1" defaultMemberUniqueName="[Pharmacy_Sales].[Pharmacist].[All]" allUniqueName="[Pharmacy_Sales].[Pharmacist].[All]" dimensionUniqueName="[Pharmacy_Sales]" displayFolder="" count="0" memberValueDatatype="130" unbalanced="0"/>
    <cacheHierarchy uniqueName="[Pharmacy_Sales].[Prescription_Required]" caption="Prescription_Required" attribute="1" defaultMemberUniqueName="[Pharmacy_Sales].[Prescription_Required].[All]" allUniqueName="[Pharmacy_Sales].[Prescription_Required].[All]" dimensionUniqueName="[Pharmacy_Sales]" displayFolder="" count="0" memberValueDatatype="130" unbalanced="0"/>
    <cacheHierarchy uniqueName="[Pharmacy_Sales].[Prescription_Provided]" caption="Prescription_Provided" attribute="1" defaultMemberUniqueName="[Pharmacy_Sales].[Prescription_Provided].[All]" allUniqueName="[Pharmacy_Sales].[Prescription_Provided].[All]" dimensionUniqueName="[Pharmacy_Sales]" displayFolder="" count="0" memberValueDatatype="130" unbalanced="0"/>
    <cacheHierarchy uniqueName="[Pharmacy_Sales].[Prescription_Compliance]" caption="Prescription_Compliance" attribute="1" defaultMemberUniqueName="[Pharmacy_Sales].[Prescription_Compliance].[All]" allUniqueName="[Pharmacy_Sales].[Prescription_Compliance].[All]" dimensionUniqueName="[Pharmacy_Sales]" displayFolder="" count="0" memberValueDatatype="130" unbalanced="0"/>
    <cacheHierarchy uniqueName="[Pharmacy_Sales].[Stock_After_Sale]" caption="Stock_After_Sale" attribute="1" defaultMemberUniqueName="[Pharmacy_Sales].[Stock_After_Sale].[All]" allUniqueName="[Pharmacy_Sales].[Stock_After_Sale].[All]" dimensionUniqueName="[Pharmacy_Sales]" displayFolder="" count="0" memberValueDatatype="20" unbalanced="0"/>
    <cacheHierarchy uniqueName="[Pharmacy_Sales].[Expiry_Date]" caption="Expiry_Date" attribute="1" time="1" defaultMemberUniqueName="[Pharmacy_Sales].[Expiry_Date].[All]" allUniqueName="[Pharmacy_Sales].[Expiry_Date].[All]" dimensionUniqueName="[Pharmacy_Sales]" displayFolder="" count="0" memberValueDatatype="7" unbalanced="0"/>
    <cacheHierarchy uniqueName="[Pharmacy_Sales].[Expiry_Drug_Sold]" caption="Expiry_Drug_Sold" attribute="1" defaultMemberUniqueName="[Pharmacy_Sales].[Expiry_Drug_Sold].[All]" allUniqueName="[Pharmacy_Sales].[Expiry_Drug_Sold].[All]" dimensionUniqueName="[Pharmacy_Sales]" displayFolder="" count="0" memberValueDatatype="130" unbalanced="0"/>
    <cacheHierarchy uniqueName="[Staff_Attendance].[Record_ID]" caption="Record_ID" attribute="1" defaultMemberUniqueName="[Staff_Attendance].[Record_ID].[All]" allUniqueName="[Staff_Attendance].[Record_ID].[All]" dimensionUniqueName="[Staff_Attendance]" displayFolder="" count="0" memberValueDatatype="130" unbalanced="0"/>
    <cacheHierarchy uniqueName="[Staff_Attendance].[Staff_Name]" caption="Staff_Name" attribute="1" defaultMemberUniqueName="[Staff_Attendance].[Staff_Name].[All]" allUniqueName="[Staff_Attendance].[Staff_Name].[All]" dimensionUniqueName="[Staff_Attendance]" displayFolder="" count="0" memberValueDatatype="130" unbalanced="0"/>
    <cacheHierarchy uniqueName="[Staff_Attendance].[Staff_Role]" caption="Staff_Role" attribute="1" defaultMemberUniqueName="[Staff_Attendance].[Staff_Role].[All]" allUniqueName="[Staff_Attendance].[Staff_Role].[All]" dimensionUniqueName="[Staff_Attendance]" displayFolder="" count="0" memberValueDatatype="130" unbalanced="0"/>
    <cacheHierarchy uniqueName="[Staff_Attendance].[Department]" caption="Department" attribute="1" defaultMemberUniqueName="[Staff_Attendance].[Department].[All]" allUniqueName="[Staff_Attendance].[Department].[All]" dimensionUniqueName="[Staff_Attendance]" displayFolder="" count="0" memberValueDatatype="130" unbalanced="0"/>
    <cacheHierarchy uniqueName="[Staff_Attendance].[Date]" caption="Date" attribute="1" time="1" defaultMemberUniqueName="[Staff_Attendance].[Date].[All]" allUniqueName="[Staff_Attendance].[Date].[All]" dimensionUniqueName="[Staff_Attendance]" displayFolder="" count="2" memberValueDatatype="7" unbalanced="0">
      <fieldsUsage count="2">
        <fieldUsage x="-1"/>
        <fieldUsage x="3"/>
      </fieldsUsage>
    </cacheHierarchy>
    <cacheHierarchy uniqueName="[Staff_Attendance].[Clock_In (Updated)]" caption="Clock_In (Updated)" attribute="1" time="1" defaultMemberUniqueName="[Staff_Attendance].[Clock_In (Updated)].[All]" allUniqueName="[Staff_Attendance].[Clock_In (Updated)].[All]" dimensionUniqueName="[Staff_Attendance]" displayFolder="" count="0" memberValueDatatype="7" unbalanced="0"/>
    <cacheHierarchy uniqueName="[Staff_Attendance].[Clock_Out (Updated)]" caption="Clock_Out (Updated)" attribute="1" time="1" defaultMemberUniqueName="[Staff_Attendance].[Clock_Out (Updated)].[All]" allUniqueName="[Staff_Attendance].[Clock_Out (Updated)].[All]" dimensionUniqueName="[Staff_Attendance]" displayFolder="" count="0" memberValueDatatype="7" unbalanced="0"/>
    <cacheHierarchy uniqueName="[Staff_Attendance].[Hours_Worked (Updated)]" caption="Hours_Worked (Updated)" attribute="1" defaultMemberUniqueName="[Staff_Attendance].[Hours_Worked (Updated)].[All]" allUniqueName="[Staff_Attendance].[Hours_Worked (Updated)].[All]" dimensionUniqueName="[Staff_Attendance]" displayFolder="" count="0" memberValueDatatype="20" unbalanced="0"/>
    <cacheHierarchy uniqueName="[Staff_Attendance].[Shift_Type (Updated)]" caption="Shift_Type (Updated)" attribute="1" defaultMemberUniqueName="[Staff_Attendance].[Shift_Type (Updated)].[All]" allUniqueName="[Staff_Attendance].[Shift_Type (Updated)].[All]" dimensionUniqueName="[Staff_Attendance]" displayFolder="" count="0" memberValueDatatype="130" unbalanced="0"/>
    <cacheHierarchy uniqueName="[Staff_Attendance].[Attendance_Status (Updated)]" caption="Attendance_Status (Updated)" attribute="1" defaultMemberUniqueName="[Staff_Attendance].[Attendance_Status (Updated)].[All]" allUniqueName="[Staff_Attendance].[Attendance_Status (Updated)].[All]" dimensionUniqueName="[Staff_Attendance]" displayFolder="" count="0" memberValueDatatype="130" unbalanced="0"/>
    <cacheHierarchy uniqueName="[Measures].[__XL_Count Pharmacy_Sales]" caption="__XL_Count Pharmacy_Sales" measure="1" displayFolder="" measureGroup="Pharmacy_Sales" count="0" hidden="1"/>
    <cacheHierarchy uniqueName="[Measures].[__XL_Count Patient_Visits]" caption="__XL_Count Patient_Visits" measure="1" displayFolder="" measureGroup="Patient_Visits" count="0" hidden="1"/>
    <cacheHierarchy uniqueName="[Measures].[__XL_Count Staff_Attendance]" caption="__XL_Count Staff_Attendance" measure="1" displayFolder="" measureGroup="Staff_Attendance" count="0" hidden="1"/>
    <cacheHierarchy uniqueName="[Measures].[__No measures defined]" caption="__No measures defined" measure="1" displayFolder="" count="0" hidden="1"/>
    <cacheHierarchy uniqueName="[Measures].[Count of Patient_ID 2]" caption="Count of Patient_ID 2" measure="1" displayFolder="" measureGroup="Pharmacy_Sales" count="0" hidden="1">
      <extLst>
        <ext xmlns:x15="http://schemas.microsoft.com/office/spreadsheetml/2010/11/main" uri="{B97F6D7D-B522-45F9-BDA1-12C45D357490}">
          <x15:cacheHierarchy aggregatedColumn="24"/>
        </ext>
      </extLst>
    </cacheHierarchy>
    <cacheHierarchy uniqueName="[Measures].[Count of Visit_Date (Updated)]" caption="Count of Visit_Date (Updated)" measure="1" displayFolder="" measureGroup="Patient_Visits" count="0" hidden="1">
      <extLst>
        <ext xmlns:x15="http://schemas.microsoft.com/office/spreadsheetml/2010/11/main" uri="{B97F6D7D-B522-45F9-BDA1-12C45D357490}">
          <x15:cacheHierarchy aggregatedColumn="5"/>
        </ext>
      </extLst>
    </cacheHierarchy>
    <cacheHierarchy uniqueName="[Measures].[Count of Patient_ID]" caption="Count of Patient_ID" measure="1" displayFolder="" measureGroup="Patient_Visit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Bill_Amount_NGN]" caption="Sum of Bill_Amount_NGN" measure="1" displayFolder="" measureGroup="Patient_Visits" count="0" hidden="1">
      <extLst>
        <ext xmlns:x15="http://schemas.microsoft.com/office/spreadsheetml/2010/11/main" uri="{B97F6D7D-B522-45F9-BDA1-12C45D357490}">
          <x15:cacheHierarchy aggregatedColumn="20"/>
        </ext>
      </extLst>
    </cacheHierarchy>
    <cacheHierarchy uniqueName="[Measures].[Average of Bill_Amount_NGN]" caption="Average of Bill_Amount_NGN" measure="1" displayFolder="" measureGroup="Patient_Visits" count="0" hidden="1">
      <extLst>
        <ext xmlns:x15="http://schemas.microsoft.com/office/spreadsheetml/2010/11/main" uri="{B97F6D7D-B522-45F9-BDA1-12C45D357490}">
          <x15:cacheHierarchy aggregatedColumn="20"/>
        </ext>
      </extLst>
    </cacheHierarchy>
    <cacheHierarchy uniqueName="[Measures].[Sum of Total_Price_NGN (Updated)]" caption="Sum of Total_Price_NGN (Updated)" measure="1" displayFolder="" measureGroup="Pharmacy_Sales" count="0" hidden="1">
      <extLst>
        <ext xmlns:x15="http://schemas.microsoft.com/office/spreadsheetml/2010/11/main" uri="{B97F6D7D-B522-45F9-BDA1-12C45D357490}">
          <x15:cacheHierarchy aggregatedColumn="29"/>
        </ext>
      </extLst>
    </cacheHierarchy>
  </cacheHierarchies>
  <kpis count="0"/>
  <dimensions count="4">
    <dimension measure="1" name="Measures" uniqueName="[Measures]" caption="Measures"/>
    <dimension name="Patient_Visits" uniqueName="[Patient_Visits]" caption="Patient_Visits"/>
    <dimension name="Pharmacy_Sales" uniqueName="[Pharmacy_Sales]" caption="Pharmacy_Sales"/>
    <dimension name="Staff_Attendance" uniqueName="[Staff_Attendance]" caption="Staff_Attendance"/>
  </dimensions>
  <measureGroups count="3">
    <measureGroup name="Patient_Visits" caption="Patient_Visits"/>
    <measureGroup name="Pharmacy_Sales" caption="Pharmacy_Sales"/>
    <measureGroup name="Staff_Attendance" caption="Staff_Attendance"/>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5.564853819444" backgroundQuery="1" createdVersion="8" refreshedVersion="8" minRefreshableVersion="3" recordCount="0" supportSubquery="1" supportAdvancedDrill="1" xr:uid="{95302014-55F3-4FB7-BCF0-7E35A8916682}">
  <cacheSource type="external" connectionId="4"/>
  <cacheFields count="5">
    <cacheField name="[Patient_Visits].[Payment_Status (Updated)].[Payment_Status (Updated)]" caption="Payment_Status (Updated)" numFmtId="0" hierarchy="21" level="1">
      <sharedItems count="4">
        <s v="Paid"/>
        <s v="Pending"/>
        <s v="Unpaid"/>
        <s v="Waived"/>
      </sharedItems>
    </cacheField>
    <cacheField name="[Measures].[Sum of Bill_Amount_NGN]" caption="Sum of Bill_Amount_NGN" numFmtId="0" hierarchy="54" level="32767"/>
    <cacheField name="[Staff_Attendance].[Date].[Date]" caption="Date" numFmtId="0" hierarchy="41" level="1">
      <sharedItems containsSemiMixedTypes="0" containsNonDate="0" containsString="0"/>
    </cacheField>
    <cacheField name="[Patient_Visits].[Department].[Department]" caption="Department" numFmtId="0" hierarchy="8" level="1">
      <sharedItems containsSemiMixedTypes="0" containsNonDate="0" containsString="0"/>
    </cacheField>
    <cacheField name="[Patient_Visits].[State].[State]" caption="State" numFmtId="0" hierarchy="4" level="1">
      <sharedItems containsSemiMixedTypes="0" containsNonDate="0" containsString="0"/>
    </cacheField>
  </cacheFields>
  <cacheHierarchies count="57">
    <cacheHierarchy uniqueName="[Patient_Visits].[Patient_ID]" caption="Patient_ID" attribute="1" defaultMemberUniqueName="[Patient_Visits].[Patient_ID].[All]" allUniqueName="[Patient_Visits].[Patient_ID].[All]" dimensionUniqueName="[Patient_Visits]" displayFolder="" count="0" memberValueDatatype="130" unbalanced="0"/>
    <cacheHierarchy uniqueName="[Patient_Visits].[Patient_Name]" caption="Patient_Name" attribute="1" defaultMemberUniqueName="[Patient_Visits].[Patient_Name].[All]" allUniqueName="[Patient_Visits].[Patient_Name].[All]" dimensionUniqueName="[Patient_Visits]" displayFolder="" count="0" memberValueDatatype="130" unbalanced="0"/>
    <cacheHierarchy uniqueName="[Patient_Visits].[Age]" caption="Age" attribute="1" defaultMemberUniqueName="[Patient_Visits].[Age].[All]" allUniqueName="[Patient_Visits].[Age].[All]" dimensionUniqueName="[Patient_Visits]" displayFolder="" count="0" memberValueDatatype="20" unbalanced="0"/>
    <cacheHierarchy uniqueName="[Patient_Visits].[Gender]" caption="Gender" attribute="1" defaultMemberUniqueName="[Patient_Visits].[Gender].[All]" allUniqueName="[Patient_Visits].[Gender].[All]" dimensionUniqueName="[Patient_Visits]" displayFolder="" count="0" memberValueDatatype="130" unbalanced="0"/>
    <cacheHierarchy uniqueName="[Patient_Visits].[State]" caption="State" attribute="1" defaultMemberUniqueName="[Patient_Visits].[State].[All]" allUniqueName="[Patient_Visits].[State].[All]" dimensionUniqueName="[Patient_Visits]" displayFolder="" count="2" memberValueDatatype="130" unbalanced="0">
      <fieldsUsage count="2">
        <fieldUsage x="-1"/>
        <fieldUsage x="4"/>
      </fieldsUsage>
    </cacheHierarchy>
    <cacheHierarchy uniqueName="[Patient_Visits].[Visit_Date (Updated)]" caption="Visit_Date (Updated)" attribute="1" defaultMemberUniqueName="[Patient_Visits].[Visit_Date (Updated)].[All]" allUniqueName="[Patient_Visits].[Visit_Date (Updated)].[All]" dimensionUniqueName="[Patient_Visits]" displayFolder="" count="0" memberValueDatatype="130" unbalanced="0"/>
    <cacheHierarchy uniqueName="[Patient_Visits].[Column1]" caption="Column1" attribute="1" defaultMemberUniqueName="[Patient_Visits].[Column1].[All]" allUniqueName="[Patient_Visits].[Column1].[All]" dimensionUniqueName="[Patient_Visits]" displayFolder="" count="0" memberValueDatatype="130" unbalanced="0"/>
    <cacheHierarchy uniqueName="[Patient_Visits].[Month]" caption="Month" attribute="1" defaultMemberUniqueName="[Patient_Visits].[Month].[All]" allUniqueName="[Patient_Visits].[Month].[All]" dimensionUniqueName="[Patient_Visits]" displayFolder="" count="0" memberValueDatatype="130" unbalanced="0"/>
    <cacheHierarchy uniqueName="[Patient_Visits].[Department]" caption="Department" attribute="1" defaultMemberUniqueName="[Patient_Visits].[Department].[All]" allUniqueName="[Patient_Visits].[Department].[All]" dimensionUniqueName="[Patient_Visits]" displayFolder="" count="2" memberValueDatatype="130" unbalanced="0">
      <fieldsUsage count="2">
        <fieldUsage x="-1"/>
        <fieldUsage x="3"/>
      </fieldsUsage>
    </cacheHierarchy>
    <cacheHierarchy uniqueName="[Patient_Visits].[Doctor_Name]" caption="Doctor_Name" attribute="1" defaultMemberUniqueName="[Patient_Visits].[Doctor_Name].[All]" allUniqueName="[Patient_Visits].[Doctor_Name].[All]" dimensionUniqueName="[Patient_Visits]" displayFolder="" count="0" memberValueDatatype="130" unbalanced="0"/>
    <cacheHierarchy uniqueName="[Patient_Visits].[Diagnosis]" caption="Diagnosis" attribute="1" defaultMemberUniqueName="[Patient_Visits].[Diagnosis].[All]" allUniqueName="[Patient_Visits].[Diagnosis].[All]" dimensionUniqueName="[Patient_Visits]" displayFolder="" count="0" memberValueDatatype="130" unbalanced="0"/>
    <cacheHierarchy uniqueName="[Patient_Visits].[Visit_Type]" caption="Visit_Type" attribute="1" defaultMemberUniqueName="[Patient_Visits].[Visit_Type].[All]" allUniqueName="[Patient_Visits].[Visit_Type].[All]" dimensionUniqueName="[Patient_Visits]" displayFolder="" count="0" memberValueDatatype="130" unbalanced="0"/>
    <cacheHierarchy uniqueName="[Patient_Visits].[Blood_Pressure (Updated)]" caption="Blood_Pressure (Updated)" attribute="1" defaultMemberUniqueName="[Patient_Visits].[Blood_Pressure (Updated)].[All]" allUniqueName="[Patient_Visits].[Blood_Pressure (Updated)].[All]" dimensionUniqueName="[Patient_Visits]" displayFolder="" count="0" memberValueDatatype="130" unbalanced="0"/>
    <cacheHierarchy uniqueName="[Patient_Visits].[Heart_Rate_bpm]" caption="Heart_Rate_bpm" attribute="1" defaultMemberUniqueName="[Patient_Visits].[Heart_Rate_bpm].[All]" allUniqueName="[Patient_Visits].[Heart_Rate_bpm].[All]" dimensionUniqueName="[Patient_Visits]" displayFolder="" count="0" memberValueDatatype="20" unbalanced="0"/>
    <cacheHierarchy uniqueName="[Patient_Visits].[Body_Temp (Celsius)]" caption="Body_Temp (Celsius)" attribute="1" defaultMemberUniqueName="[Patient_Visits].[Body_Temp (Celsius)].[All]" allUniqueName="[Patient_Visits].[Body_Temp (Celsius)].[All]" dimensionUniqueName="[Patient_Visits]" displayFolder="" count="0" memberValueDatatype="5" unbalanced="0"/>
    <cacheHierarchy uniqueName="[Patient_Visits].[Body_Temp_C]" caption="Body_Temp_C" attribute="1" defaultMemberUniqueName="[Patient_Visits].[Body_Temp_C].[All]" allUniqueName="[Patient_Visits].[Body_Temp_C].[All]" dimensionUniqueName="[Patient_Visits]" displayFolder="" count="0" memberValueDatatype="5" unbalanced="0"/>
    <cacheHierarchy uniqueName="[Patient_Visits].[Weight_kg]" caption="Weight_kg" attribute="1" defaultMemberUniqueName="[Patient_Visits].[Weight_kg].[All]" allUniqueName="[Patient_Visits].[Weight_kg].[All]" dimensionUniqueName="[Patient_Visits]" displayFolder="" count="0" memberValueDatatype="5" unbalanced="0"/>
    <cacheHierarchy uniqueName="[Patient_Visits].[Height_cm]" caption="Height_cm" attribute="1" defaultMemberUniqueName="[Patient_Visits].[Height_cm].[All]" allUniqueName="[Patient_Visits].[Height_cm].[All]" dimensionUniqueName="[Patient_Visits]" displayFolder="" count="0" memberValueDatatype="20" unbalanced="0"/>
    <cacheHierarchy uniqueName="[Patient_Visits].[BMI]" caption="BMI" attribute="1" defaultMemberUniqueName="[Patient_Visits].[BMI].[All]" allUniqueName="[Patient_Visits].[BMI].[All]" dimensionUniqueName="[Patient_Visits]" displayFolder="" count="0" memberValueDatatype="5" unbalanced="0"/>
    <cacheHierarchy uniqueName="[Patient_Visits].[Payment_Method]" caption="Payment_Method" attribute="1" defaultMemberUniqueName="[Patient_Visits].[Payment_Method].[All]" allUniqueName="[Patient_Visits].[Payment_Method].[All]" dimensionUniqueName="[Patient_Visits]" displayFolder="" count="0" memberValueDatatype="130" unbalanced="0"/>
    <cacheHierarchy uniqueName="[Patient_Visits].[Bill_Amount_NGN]" caption="Bill_Amount_NGN" attribute="1" defaultMemberUniqueName="[Patient_Visits].[Bill_Amount_NGN].[All]" allUniqueName="[Patient_Visits].[Bill_Amount_NGN].[All]" dimensionUniqueName="[Patient_Visits]" displayFolder="" count="0" memberValueDatatype="20" unbalanced="0"/>
    <cacheHierarchy uniqueName="[Patient_Visits].[Payment_Status (Updated)]" caption="Payment_Status (Updated)" attribute="1" defaultMemberUniqueName="[Patient_Visits].[Payment_Status (Updated)].[All]" allUniqueName="[Patient_Visits].[Payment_Status (Updated)].[All]" dimensionUniqueName="[Patient_Visits]" displayFolder="" count="2" memberValueDatatype="130" unbalanced="0">
      <fieldsUsage count="2">
        <fieldUsage x="-1"/>
        <fieldUsage x="0"/>
      </fieldsUsage>
    </cacheHierarchy>
    <cacheHierarchy uniqueName="[Patient_Visits].[Follow_Up_Needed]" caption="Follow_Up_Needed" attribute="1" defaultMemberUniqueName="[Patient_Visits].[Follow_Up_Needed].[All]" allUniqueName="[Patient_Visits].[Follow_Up_Needed].[All]" dimensionUniqueName="[Patient_Visits]" displayFolder="" count="0" memberValueDatatype="130" unbalanced="0"/>
    <cacheHierarchy uniqueName="[Pharmacy_Sales].[Sale_ID]" caption="Sale_ID" attribute="1" defaultMemberUniqueName="[Pharmacy_Sales].[Sale_ID].[All]" allUniqueName="[Pharmacy_Sales].[Sale_ID].[All]" dimensionUniqueName="[Pharmacy_Sales]" displayFolder="" count="0" memberValueDatatype="130" unbalanced="0"/>
    <cacheHierarchy uniqueName="[Pharmacy_Sales].[Patient_ID]" caption="Patient_ID" attribute="1" defaultMemberUniqueName="[Pharmacy_Sales].[Patient_ID].[All]" allUniqueName="[Pharmacy_Sales].[Patient_ID].[All]" dimensionUniqueName="[Pharmacy_Sales]" displayFolder="" count="0" memberValueDatatype="130" unbalanced="0"/>
    <cacheHierarchy uniqueName="[Pharmacy_Sales].[Sale_Date (Updated)]" caption="Sale_Date (Updated)" attribute="1" time="1" defaultMemberUniqueName="[Pharmacy_Sales].[Sale_Date (Updated)].[All]" allUniqueName="[Pharmacy_Sales].[Sale_Date (Updated)].[All]" dimensionUniqueName="[Pharmacy_Sales]" displayFolder="" count="0" memberValueDatatype="7" unbalanced="0"/>
    <cacheHierarchy uniqueName="[Pharmacy_Sales].[Drug_Name]" caption="Drug_Name" attribute="1" defaultMemberUniqueName="[Pharmacy_Sales].[Drug_Name].[All]" allUniqueName="[Pharmacy_Sales].[Drug_Name].[All]" dimensionUniqueName="[Pharmacy_Sales]" displayFolder="" count="0" memberValueDatatype="130" unbalanced="0"/>
    <cacheHierarchy uniqueName="[Pharmacy_Sales].[Quantity_Sold]" caption="Quantity_Sold" attribute="1" defaultMemberUniqueName="[Pharmacy_Sales].[Quantity_Sold].[All]" allUniqueName="[Pharmacy_Sales].[Quantity_Sold].[All]" dimensionUniqueName="[Pharmacy_Sales]" displayFolder="" count="0" memberValueDatatype="20" unbalanced="0"/>
    <cacheHierarchy uniqueName="[Pharmacy_Sales].[Unit_Price_NGN]" caption="Unit_Price_NGN" attribute="1" defaultMemberUniqueName="[Pharmacy_Sales].[Unit_Price_NGN].[All]" allUniqueName="[Pharmacy_Sales].[Unit_Price_NGN].[All]" dimensionUniqueName="[Pharmacy_Sales]" displayFolder="" count="0" memberValueDatatype="20" unbalanced="0"/>
    <cacheHierarchy uniqueName="[Pharmacy_Sales].[Total_Price_NGN (Updated)]" caption="Total_Price_NGN (Updated)" attribute="1" defaultMemberUniqueName="[Pharmacy_Sales].[Total_Price_NGN (Updated)].[All]" allUniqueName="[Pharmacy_Sales].[Total_Price_NGN (Updated)].[All]" dimensionUniqueName="[Pharmacy_Sales]" displayFolder="" count="0" memberValueDatatype="20" unbalanced="0"/>
    <cacheHierarchy uniqueName="[Pharmacy_Sales].[Pharmacist]" caption="Pharmacist" attribute="1" defaultMemberUniqueName="[Pharmacy_Sales].[Pharmacist].[All]" allUniqueName="[Pharmacy_Sales].[Pharmacist].[All]" dimensionUniqueName="[Pharmacy_Sales]" displayFolder="" count="0" memberValueDatatype="130" unbalanced="0"/>
    <cacheHierarchy uniqueName="[Pharmacy_Sales].[Prescription_Required]" caption="Prescription_Required" attribute="1" defaultMemberUniqueName="[Pharmacy_Sales].[Prescription_Required].[All]" allUniqueName="[Pharmacy_Sales].[Prescription_Required].[All]" dimensionUniqueName="[Pharmacy_Sales]" displayFolder="" count="0" memberValueDatatype="130" unbalanced="0"/>
    <cacheHierarchy uniqueName="[Pharmacy_Sales].[Prescription_Provided]" caption="Prescription_Provided" attribute="1" defaultMemberUniqueName="[Pharmacy_Sales].[Prescription_Provided].[All]" allUniqueName="[Pharmacy_Sales].[Prescription_Provided].[All]" dimensionUniqueName="[Pharmacy_Sales]" displayFolder="" count="0" memberValueDatatype="130" unbalanced="0"/>
    <cacheHierarchy uniqueName="[Pharmacy_Sales].[Prescription_Compliance]" caption="Prescription_Compliance" attribute="1" defaultMemberUniqueName="[Pharmacy_Sales].[Prescription_Compliance].[All]" allUniqueName="[Pharmacy_Sales].[Prescription_Compliance].[All]" dimensionUniqueName="[Pharmacy_Sales]" displayFolder="" count="0" memberValueDatatype="130" unbalanced="0"/>
    <cacheHierarchy uniqueName="[Pharmacy_Sales].[Stock_After_Sale]" caption="Stock_After_Sale" attribute="1" defaultMemberUniqueName="[Pharmacy_Sales].[Stock_After_Sale].[All]" allUniqueName="[Pharmacy_Sales].[Stock_After_Sale].[All]" dimensionUniqueName="[Pharmacy_Sales]" displayFolder="" count="0" memberValueDatatype="20" unbalanced="0"/>
    <cacheHierarchy uniqueName="[Pharmacy_Sales].[Expiry_Date]" caption="Expiry_Date" attribute="1" time="1" defaultMemberUniqueName="[Pharmacy_Sales].[Expiry_Date].[All]" allUniqueName="[Pharmacy_Sales].[Expiry_Date].[All]" dimensionUniqueName="[Pharmacy_Sales]" displayFolder="" count="0" memberValueDatatype="7" unbalanced="0"/>
    <cacheHierarchy uniqueName="[Pharmacy_Sales].[Expiry_Drug_Sold]" caption="Expiry_Drug_Sold" attribute="1" defaultMemberUniqueName="[Pharmacy_Sales].[Expiry_Drug_Sold].[All]" allUniqueName="[Pharmacy_Sales].[Expiry_Drug_Sold].[All]" dimensionUniqueName="[Pharmacy_Sales]" displayFolder="" count="0" memberValueDatatype="130" unbalanced="0"/>
    <cacheHierarchy uniqueName="[Staff_Attendance].[Record_ID]" caption="Record_ID" attribute="1" defaultMemberUniqueName="[Staff_Attendance].[Record_ID].[All]" allUniqueName="[Staff_Attendance].[Record_ID].[All]" dimensionUniqueName="[Staff_Attendance]" displayFolder="" count="0" memberValueDatatype="130" unbalanced="0"/>
    <cacheHierarchy uniqueName="[Staff_Attendance].[Staff_Name]" caption="Staff_Name" attribute="1" defaultMemberUniqueName="[Staff_Attendance].[Staff_Name].[All]" allUniqueName="[Staff_Attendance].[Staff_Name].[All]" dimensionUniqueName="[Staff_Attendance]" displayFolder="" count="0" memberValueDatatype="130" unbalanced="0"/>
    <cacheHierarchy uniqueName="[Staff_Attendance].[Staff_Role]" caption="Staff_Role" attribute="1" defaultMemberUniqueName="[Staff_Attendance].[Staff_Role].[All]" allUniqueName="[Staff_Attendance].[Staff_Role].[All]" dimensionUniqueName="[Staff_Attendance]" displayFolder="" count="0" memberValueDatatype="130" unbalanced="0"/>
    <cacheHierarchy uniqueName="[Staff_Attendance].[Department]" caption="Department" attribute="1" defaultMemberUniqueName="[Staff_Attendance].[Department].[All]" allUniqueName="[Staff_Attendance].[Department].[All]" dimensionUniqueName="[Staff_Attendance]" displayFolder="" count="0" memberValueDatatype="130" unbalanced="0"/>
    <cacheHierarchy uniqueName="[Staff_Attendance].[Date]" caption="Date" attribute="1" time="1" defaultMemberUniqueName="[Staff_Attendance].[Date].[All]" allUniqueName="[Staff_Attendance].[Date].[All]" dimensionUniqueName="[Staff_Attendance]" displayFolder="" count="2" memberValueDatatype="7" unbalanced="0">
      <fieldsUsage count="2">
        <fieldUsage x="-1"/>
        <fieldUsage x="2"/>
      </fieldsUsage>
    </cacheHierarchy>
    <cacheHierarchy uniqueName="[Staff_Attendance].[Clock_In (Updated)]" caption="Clock_In (Updated)" attribute="1" time="1" defaultMemberUniqueName="[Staff_Attendance].[Clock_In (Updated)].[All]" allUniqueName="[Staff_Attendance].[Clock_In (Updated)].[All]" dimensionUniqueName="[Staff_Attendance]" displayFolder="" count="0" memberValueDatatype="7" unbalanced="0"/>
    <cacheHierarchy uniqueName="[Staff_Attendance].[Clock_Out (Updated)]" caption="Clock_Out (Updated)" attribute="1" time="1" defaultMemberUniqueName="[Staff_Attendance].[Clock_Out (Updated)].[All]" allUniqueName="[Staff_Attendance].[Clock_Out (Updated)].[All]" dimensionUniqueName="[Staff_Attendance]" displayFolder="" count="0" memberValueDatatype="7" unbalanced="0"/>
    <cacheHierarchy uniqueName="[Staff_Attendance].[Hours_Worked (Updated)]" caption="Hours_Worked (Updated)" attribute="1" defaultMemberUniqueName="[Staff_Attendance].[Hours_Worked (Updated)].[All]" allUniqueName="[Staff_Attendance].[Hours_Worked (Updated)].[All]" dimensionUniqueName="[Staff_Attendance]" displayFolder="" count="0" memberValueDatatype="20" unbalanced="0"/>
    <cacheHierarchy uniqueName="[Staff_Attendance].[Shift_Type (Updated)]" caption="Shift_Type (Updated)" attribute="1" defaultMemberUniqueName="[Staff_Attendance].[Shift_Type (Updated)].[All]" allUniqueName="[Staff_Attendance].[Shift_Type (Updated)].[All]" dimensionUniqueName="[Staff_Attendance]" displayFolder="" count="0" memberValueDatatype="130" unbalanced="0"/>
    <cacheHierarchy uniqueName="[Staff_Attendance].[Attendance_Status (Updated)]" caption="Attendance_Status (Updated)" attribute="1" defaultMemberUniqueName="[Staff_Attendance].[Attendance_Status (Updated)].[All]" allUniqueName="[Staff_Attendance].[Attendance_Status (Updated)].[All]" dimensionUniqueName="[Staff_Attendance]" displayFolder="" count="0" memberValueDatatype="130" unbalanced="0"/>
    <cacheHierarchy uniqueName="[Measures].[__XL_Count Pharmacy_Sales]" caption="__XL_Count Pharmacy_Sales" measure="1" displayFolder="" measureGroup="Pharmacy_Sales" count="0" hidden="1"/>
    <cacheHierarchy uniqueName="[Measures].[__XL_Count Patient_Visits]" caption="__XL_Count Patient_Visits" measure="1" displayFolder="" measureGroup="Patient_Visits" count="0" hidden="1"/>
    <cacheHierarchy uniqueName="[Measures].[__XL_Count Staff_Attendance]" caption="__XL_Count Staff_Attendance" measure="1" displayFolder="" measureGroup="Staff_Attendance" count="0" hidden="1"/>
    <cacheHierarchy uniqueName="[Measures].[__No measures defined]" caption="__No measures defined" measure="1" displayFolder="" count="0" hidden="1"/>
    <cacheHierarchy uniqueName="[Measures].[Count of Patient_ID 2]" caption="Count of Patient_ID 2" measure="1" displayFolder="" measureGroup="Pharmacy_Sales" count="0" hidden="1">
      <extLst>
        <ext xmlns:x15="http://schemas.microsoft.com/office/spreadsheetml/2010/11/main" uri="{B97F6D7D-B522-45F9-BDA1-12C45D357490}">
          <x15:cacheHierarchy aggregatedColumn="24"/>
        </ext>
      </extLst>
    </cacheHierarchy>
    <cacheHierarchy uniqueName="[Measures].[Count of Visit_Date (Updated)]" caption="Count of Visit_Date (Updated)" measure="1" displayFolder="" measureGroup="Patient_Visits" count="0" hidden="1">
      <extLst>
        <ext xmlns:x15="http://schemas.microsoft.com/office/spreadsheetml/2010/11/main" uri="{B97F6D7D-B522-45F9-BDA1-12C45D357490}">
          <x15:cacheHierarchy aggregatedColumn="5"/>
        </ext>
      </extLst>
    </cacheHierarchy>
    <cacheHierarchy uniqueName="[Measures].[Count of Patient_ID]" caption="Count of Patient_ID" measure="1" displayFolder="" measureGroup="Patient_Visits" count="0" hidden="1">
      <extLst>
        <ext xmlns:x15="http://schemas.microsoft.com/office/spreadsheetml/2010/11/main" uri="{B97F6D7D-B522-45F9-BDA1-12C45D357490}">
          <x15:cacheHierarchy aggregatedColumn="0"/>
        </ext>
      </extLst>
    </cacheHierarchy>
    <cacheHierarchy uniqueName="[Measures].[Sum of Bill_Amount_NGN]" caption="Sum of Bill_Amount_NGN" measure="1" displayFolder="" measureGroup="Patient_Visits"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Bill_Amount_NGN]" caption="Average of Bill_Amount_NGN" measure="1" displayFolder="" measureGroup="Patient_Visits" count="0" hidden="1">
      <extLst>
        <ext xmlns:x15="http://schemas.microsoft.com/office/spreadsheetml/2010/11/main" uri="{B97F6D7D-B522-45F9-BDA1-12C45D357490}">
          <x15:cacheHierarchy aggregatedColumn="20"/>
        </ext>
      </extLst>
    </cacheHierarchy>
    <cacheHierarchy uniqueName="[Measures].[Sum of Total_Price_NGN (Updated)]" caption="Sum of Total_Price_NGN (Updated)" measure="1" displayFolder="" measureGroup="Pharmacy_Sales" count="0" hidden="1">
      <extLst>
        <ext xmlns:x15="http://schemas.microsoft.com/office/spreadsheetml/2010/11/main" uri="{B97F6D7D-B522-45F9-BDA1-12C45D357490}">
          <x15:cacheHierarchy aggregatedColumn="29"/>
        </ext>
      </extLst>
    </cacheHierarchy>
  </cacheHierarchies>
  <kpis count="0"/>
  <dimensions count="4">
    <dimension measure="1" name="Measures" uniqueName="[Measures]" caption="Measures"/>
    <dimension name="Patient_Visits" uniqueName="[Patient_Visits]" caption="Patient_Visits"/>
    <dimension name="Pharmacy_Sales" uniqueName="[Pharmacy_Sales]" caption="Pharmacy_Sales"/>
    <dimension name="Staff_Attendance" uniqueName="[Staff_Attendance]" caption="Staff_Attendance"/>
  </dimensions>
  <measureGroups count="3">
    <measureGroup name="Patient_Visits" caption="Patient_Visits"/>
    <measureGroup name="Pharmacy_Sales" caption="Pharmacy_Sales"/>
    <measureGroup name="Staff_Attendance" caption="Staff_Attendance"/>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5.564855787037" backgroundQuery="1" createdVersion="8" refreshedVersion="8" minRefreshableVersion="3" recordCount="0" supportSubquery="1" supportAdvancedDrill="1" xr:uid="{5A3A6B28-4F7D-4A70-866A-AB71F0F93B86}">
  <cacheSource type="external" connectionId="4"/>
  <cacheFields count="5">
    <cacheField name="[Measures].[Sum of Total_Price_NGN (Updated)]" caption="Sum of Total_Price_NGN (Updated)" numFmtId="0" hierarchy="56" level="32767"/>
    <cacheField name="[Pharmacy_Sales].[Prescription_Compliance].[Prescription_Compliance]" caption="Prescription_Compliance" numFmtId="0" hierarchy="33" level="1">
      <sharedItems count="2">
        <s v="No"/>
        <s v="Yes"/>
      </sharedItems>
    </cacheField>
    <cacheField name="[Staff_Attendance].[Date].[Date]" caption="Date" numFmtId="0" hierarchy="41" level="1">
      <sharedItems containsSemiMixedTypes="0" containsNonDate="0" containsString="0"/>
    </cacheField>
    <cacheField name="[Patient_Visits].[Department].[Department]" caption="Department" numFmtId="0" hierarchy="8" level="1">
      <sharedItems containsSemiMixedTypes="0" containsNonDate="0" containsString="0"/>
    </cacheField>
    <cacheField name="[Patient_Visits].[State].[State]" caption="State" numFmtId="0" hierarchy="4" level="1">
      <sharedItems containsSemiMixedTypes="0" containsNonDate="0" containsString="0"/>
    </cacheField>
  </cacheFields>
  <cacheHierarchies count="57">
    <cacheHierarchy uniqueName="[Patient_Visits].[Patient_ID]" caption="Patient_ID" attribute="1" defaultMemberUniqueName="[Patient_Visits].[Patient_ID].[All]" allUniqueName="[Patient_Visits].[Patient_ID].[All]" dimensionUniqueName="[Patient_Visits]" displayFolder="" count="0" memberValueDatatype="130" unbalanced="0"/>
    <cacheHierarchy uniqueName="[Patient_Visits].[Patient_Name]" caption="Patient_Name" attribute="1" defaultMemberUniqueName="[Patient_Visits].[Patient_Name].[All]" allUniqueName="[Patient_Visits].[Patient_Name].[All]" dimensionUniqueName="[Patient_Visits]" displayFolder="" count="0" memberValueDatatype="130" unbalanced="0"/>
    <cacheHierarchy uniqueName="[Patient_Visits].[Age]" caption="Age" attribute="1" defaultMemberUniqueName="[Patient_Visits].[Age].[All]" allUniqueName="[Patient_Visits].[Age].[All]" dimensionUniqueName="[Patient_Visits]" displayFolder="" count="0" memberValueDatatype="20" unbalanced="0"/>
    <cacheHierarchy uniqueName="[Patient_Visits].[Gender]" caption="Gender" attribute="1" defaultMemberUniqueName="[Patient_Visits].[Gender].[All]" allUniqueName="[Patient_Visits].[Gender].[All]" dimensionUniqueName="[Patient_Visits]" displayFolder="" count="0" memberValueDatatype="130" unbalanced="0"/>
    <cacheHierarchy uniqueName="[Patient_Visits].[State]" caption="State" attribute="1" defaultMemberUniqueName="[Patient_Visits].[State].[All]" allUniqueName="[Patient_Visits].[State].[All]" dimensionUniqueName="[Patient_Visits]" displayFolder="" count="2" memberValueDatatype="130" unbalanced="0">
      <fieldsUsage count="2">
        <fieldUsage x="-1"/>
        <fieldUsage x="4"/>
      </fieldsUsage>
    </cacheHierarchy>
    <cacheHierarchy uniqueName="[Patient_Visits].[Visit_Date (Updated)]" caption="Visit_Date (Updated)" attribute="1" defaultMemberUniqueName="[Patient_Visits].[Visit_Date (Updated)].[All]" allUniqueName="[Patient_Visits].[Visit_Date (Updated)].[All]" dimensionUniqueName="[Patient_Visits]" displayFolder="" count="0" memberValueDatatype="130" unbalanced="0"/>
    <cacheHierarchy uniqueName="[Patient_Visits].[Column1]" caption="Column1" attribute="1" defaultMemberUniqueName="[Patient_Visits].[Column1].[All]" allUniqueName="[Patient_Visits].[Column1].[All]" dimensionUniqueName="[Patient_Visits]" displayFolder="" count="0" memberValueDatatype="130" unbalanced="0"/>
    <cacheHierarchy uniqueName="[Patient_Visits].[Month]" caption="Month" attribute="1" defaultMemberUniqueName="[Patient_Visits].[Month].[All]" allUniqueName="[Patient_Visits].[Month].[All]" dimensionUniqueName="[Patient_Visits]" displayFolder="" count="0" memberValueDatatype="130" unbalanced="0"/>
    <cacheHierarchy uniqueName="[Patient_Visits].[Department]" caption="Department" attribute="1" defaultMemberUniqueName="[Patient_Visits].[Department].[All]" allUniqueName="[Patient_Visits].[Department].[All]" dimensionUniqueName="[Patient_Visits]" displayFolder="" count="2" memberValueDatatype="130" unbalanced="0">
      <fieldsUsage count="2">
        <fieldUsage x="-1"/>
        <fieldUsage x="3"/>
      </fieldsUsage>
    </cacheHierarchy>
    <cacheHierarchy uniqueName="[Patient_Visits].[Doctor_Name]" caption="Doctor_Name" attribute="1" defaultMemberUniqueName="[Patient_Visits].[Doctor_Name].[All]" allUniqueName="[Patient_Visits].[Doctor_Name].[All]" dimensionUniqueName="[Patient_Visits]" displayFolder="" count="0" memberValueDatatype="130" unbalanced="0"/>
    <cacheHierarchy uniqueName="[Patient_Visits].[Diagnosis]" caption="Diagnosis" attribute="1" defaultMemberUniqueName="[Patient_Visits].[Diagnosis].[All]" allUniqueName="[Patient_Visits].[Diagnosis].[All]" dimensionUniqueName="[Patient_Visits]" displayFolder="" count="0" memberValueDatatype="130" unbalanced="0"/>
    <cacheHierarchy uniqueName="[Patient_Visits].[Visit_Type]" caption="Visit_Type" attribute="1" defaultMemberUniqueName="[Patient_Visits].[Visit_Type].[All]" allUniqueName="[Patient_Visits].[Visit_Type].[All]" dimensionUniqueName="[Patient_Visits]" displayFolder="" count="0" memberValueDatatype="130" unbalanced="0"/>
    <cacheHierarchy uniqueName="[Patient_Visits].[Blood_Pressure (Updated)]" caption="Blood_Pressure (Updated)" attribute="1" defaultMemberUniqueName="[Patient_Visits].[Blood_Pressure (Updated)].[All]" allUniqueName="[Patient_Visits].[Blood_Pressure (Updated)].[All]" dimensionUniqueName="[Patient_Visits]" displayFolder="" count="0" memberValueDatatype="130" unbalanced="0"/>
    <cacheHierarchy uniqueName="[Patient_Visits].[Heart_Rate_bpm]" caption="Heart_Rate_bpm" attribute="1" defaultMemberUniqueName="[Patient_Visits].[Heart_Rate_bpm].[All]" allUniqueName="[Patient_Visits].[Heart_Rate_bpm].[All]" dimensionUniqueName="[Patient_Visits]" displayFolder="" count="0" memberValueDatatype="20" unbalanced="0"/>
    <cacheHierarchy uniqueName="[Patient_Visits].[Body_Temp (Celsius)]" caption="Body_Temp (Celsius)" attribute="1" defaultMemberUniqueName="[Patient_Visits].[Body_Temp (Celsius)].[All]" allUniqueName="[Patient_Visits].[Body_Temp (Celsius)].[All]" dimensionUniqueName="[Patient_Visits]" displayFolder="" count="0" memberValueDatatype="5" unbalanced="0"/>
    <cacheHierarchy uniqueName="[Patient_Visits].[Body_Temp_C]" caption="Body_Temp_C" attribute="1" defaultMemberUniqueName="[Patient_Visits].[Body_Temp_C].[All]" allUniqueName="[Patient_Visits].[Body_Temp_C].[All]" dimensionUniqueName="[Patient_Visits]" displayFolder="" count="0" memberValueDatatype="5" unbalanced="0"/>
    <cacheHierarchy uniqueName="[Patient_Visits].[Weight_kg]" caption="Weight_kg" attribute="1" defaultMemberUniqueName="[Patient_Visits].[Weight_kg].[All]" allUniqueName="[Patient_Visits].[Weight_kg].[All]" dimensionUniqueName="[Patient_Visits]" displayFolder="" count="0" memberValueDatatype="5" unbalanced="0"/>
    <cacheHierarchy uniqueName="[Patient_Visits].[Height_cm]" caption="Height_cm" attribute="1" defaultMemberUniqueName="[Patient_Visits].[Height_cm].[All]" allUniqueName="[Patient_Visits].[Height_cm].[All]" dimensionUniqueName="[Patient_Visits]" displayFolder="" count="0" memberValueDatatype="20" unbalanced="0"/>
    <cacheHierarchy uniqueName="[Patient_Visits].[BMI]" caption="BMI" attribute="1" defaultMemberUniqueName="[Patient_Visits].[BMI].[All]" allUniqueName="[Patient_Visits].[BMI].[All]" dimensionUniqueName="[Patient_Visits]" displayFolder="" count="0" memberValueDatatype="5" unbalanced="0"/>
    <cacheHierarchy uniqueName="[Patient_Visits].[Payment_Method]" caption="Payment_Method" attribute="1" defaultMemberUniqueName="[Patient_Visits].[Payment_Method].[All]" allUniqueName="[Patient_Visits].[Payment_Method].[All]" dimensionUniqueName="[Patient_Visits]" displayFolder="" count="0" memberValueDatatype="130" unbalanced="0"/>
    <cacheHierarchy uniqueName="[Patient_Visits].[Bill_Amount_NGN]" caption="Bill_Amount_NGN" attribute="1" defaultMemberUniqueName="[Patient_Visits].[Bill_Amount_NGN].[All]" allUniqueName="[Patient_Visits].[Bill_Amount_NGN].[All]" dimensionUniqueName="[Patient_Visits]" displayFolder="" count="0" memberValueDatatype="20" unbalanced="0"/>
    <cacheHierarchy uniqueName="[Patient_Visits].[Payment_Status (Updated)]" caption="Payment_Status (Updated)" attribute="1" defaultMemberUniqueName="[Patient_Visits].[Payment_Status (Updated)].[All]" allUniqueName="[Patient_Visits].[Payment_Status (Updated)].[All]" dimensionUniqueName="[Patient_Visits]" displayFolder="" count="0" memberValueDatatype="130" unbalanced="0"/>
    <cacheHierarchy uniqueName="[Patient_Visits].[Follow_Up_Needed]" caption="Follow_Up_Needed" attribute="1" defaultMemberUniqueName="[Patient_Visits].[Follow_Up_Needed].[All]" allUniqueName="[Patient_Visits].[Follow_Up_Needed].[All]" dimensionUniqueName="[Patient_Visits]" displayFolder="" count="0" memberValueDatatype="130" unbalanced="0"/>
    <cacheHierarchy uniqueName="[Pharmacy_Sales].[Sale_ID]" caption="Sale_ID" attribute="1" defaultMemberUniqueName="[Pharmacy_Sales].[Sale_ID].[All]" allUniqueName="[Pharmacy_Sales].[Sale_ID].[All]" dimensionUniqueName="[Pharmacy_Sales]" displayFolder="" count="0" memberValueDatatype="130" unbalanced="0"/>
    <cacheHierarchy uniqueName="[Pharmacy_Sales].[Patient_ID]" caption="Patient_ID" attribute="1" defaultMemberUniqueName="[Pharmacy_Sales].[Patient_ID].[All]" allUniqueName="[Pharmacy_Sales].[Patient_ID].[All]" dimensionUniqueName="[Pharmacy_Sales]" displayFolder="" count="0" memberValueDatatype="130" unbalanced="0"/>
    <cacheHierarchy uniqueName="[Pharmacy_Sales].[Sale_Date (Updated)]" caption="Sale_Date (Updated)" attribute="1" time="1" defaultMemberUniqueName="[Pharmacy_Sales].[Sale_Date (Updated)].[All]" allUniqueName="[Pharmacy_Sales].[Sale_Date (Updated)].[All]" dimensionUniqueName="[Pharmacy_Sales]" displayFolder="" count="0" memberValueDatatype="7" unbalanced="0"/>
    <cacheHierarchy uniqueName="[Pharmacy_Sales].[Drug_Name]" caption="Drug_Name" attribute="1" defaultMemberUniqueName="[Pharmacy_Sales].[Drug_Name].[All]" allUniqueName="[Pharmacy_Sales].[Drug_Name].[All]" dimensionUniqueName="[Pharmacy_Sales]" displayFolder="" count="0" memberValueDatatype="130" unbalanced="0"/>
    <cacheHierarchy uniqueName="[Pharmacy_Sales].[Quantity_Sold]" caption="Quantity_Sold" attribute="1" defaultMemberUniqueName="[Pharmacy_Sales].[Quantity_Sold].[All]" allUniqueName="[Pharmacy_Sales].[Quantity_Sold].[All]" dimensionUniqueName="[Pharmacy_Sales]" displayFolder="" count="0" memberValueDatatype="20" unbalanced="0"/>
    <cacheHierarchy uniqueName="[Pharmacy_Sales].[Unit_Price_NGN]" caption="Unit_Price_NGN" attribute="1" defaultMemberUniqueName="[Pharmacy_Sales].[Unit_Price_NGN].[All]" allUniqueName="[Pharmacy_Sales].[Unit_Price_NGN].[All]" dimensionUniqueName="[Pharmacy_Sales]" displayFolder="" count="0" memberValueDatatype="20" unbalanced="0"/>
    <cacheHierarchy uniqueName="[Pharmacy_Sales].[Total_Price_NGN (Updated)]" caption="Total_Price_NGN (Updated)" attribute="1" defaultMemberUniqueName="[Pharmacy_Sales].[Total_Price_NGN (Updated)].[All]" allUniqueName="[Pharmacy_Sales].[Total_Price_NGN (Updated)].[All]" dimensionUniqueName="[Pharmacy_Sales]" displayFolder="" count="0" memberValueDatatype="20" unbalanced="0"/>
    <cacheHierarchy uniqueName="[Pharmacy_Sales].[Pharmacist]" caption="Pharmacist" attribute="1" defaultMemberUniqueName="[Pharmacy_Sales].[Pharmacist].[All]" allUniqueName="[Pharmacy_Sales].[Pharmacist].[All]" dimensionUniqueName="[Pharmacy_Sales]" displayFolder="" count="0" memberValueDatatype="130" unbalanced="0"/>
    <cacheHierarchy uniqueName="[Pharmacy_Sales].[Prescription_Required]" caption="Prescription_Required" attribute="1" defaultMemberUniqueName="[Pharmacy_Sales].[Prescription_Required].[All]" allUniqueName="[Pharmacy_Sales].[Prescription_Required].[All]" dimensionUniqueName="[Pharmacy_Sales]" displayFolder="" count="0" memberValueDatatype="130" unbalanced="0"/>
    <cacheHierarchy uniqueName="[Pharmacy_Sales].[Prescription_Provided]" caption="Prescription_Provided" attribute="1" defaultMemberUniqueName="[Pharmacy_Sales].[Prescription_Provided].[All]" allUniqueName="[Pharmacy_Sales].[Prescription_Provided].[All]" dimensionUniqueName="[Pharmacy_Sales]" displayFolder="" count="0" memberValueDatatype="130" unbalanced="0"/>
    <cacheHierarchy uniqueName="[Pharmacy_Sales].[Prescription_Compliance]" caption="Prescription_Compliance" attribute="1" defaultMemberUniqueName="[Pharmacy_Sales].[Prescription_Compliance].[All]" allUniqueName="[Pharmacy_Sales].[Prescription_Compliance].[All]" dimensionUniqueName="[Pharmacy_Sales]" displayFolder="" count="2" memberValueDatatype="130" unbalanced="0">
      <fieldsUsage count="2">
        <fieldUsage x="-1"/>
        <fieldUsage x="1"/>
      </fieldsUsage>
    </cacheHierarchy>
    <cacheHierarchy uniqueName="[Pharmacy_Sales].[Stock_After_Sale]" caption="Stock_After_Sale" attribute="1" defaultMemberUniqueName="[Pharmacy_Sales].[Stock_After_Sale].[All]" allUniqueName="[Pharmacy_Sales].[Stock_After_Sale].[All]" dimensionUniqueName="[Pharmacy_Sales]" displayFolder="" count="0" memberValueDatatype="20" unbalanced="0"/>
    <cacheHierarchy uniqueName="[Pharmacy_Sales].[Expiry_Date]" caption="Expiry_Date" attribute="1" time="1" defaultMemberUniqueName="[Pharmacy_Sales].[Expiry_Date].[All]" allUniqueName="[Pharmacy_Sales].[Expiry_Date].[All]" dimensionUniqueName="[Pharmacy_Sales]" displayFolder="" count="0" memberValueDatatype="7" unbalanced="0"/>
    <cacheHierarchy uniqueName="[Pharmacy_Sales].[Expiry_Drug_Sold]" caption="Expiry_Drug_Sold" attribute="1" defaultMemberUniqueName="[Pharmacy_Sales].[Expiry_Drug_Sold].[All]" allUniqueName="[Pharmacy_Sales].[Expiry_Drug_Sold].[All]" dimensionUniqueName="[Pharmacy_Sales]" displayFolder="" count="0" memberValueDatatype="130" unbalanced="0"/>
    <cacheHierarchy uniqueName="[Staff_Attendance].[Record_ID]" caption="Record_ID" attribute="1" defaultMemberUniqueName="[Staff_Attendance].[Record_ID].[All]" allUniqueName="[Staff_Attendance].[Record_ID].[All]" dimensionUniqueName="[Staff_Attendance]" displayFolder="" count="0" memberValueDatatype="130" unbalanced="0"/>
    <cacheHierarchy uniqueName="[Staff_Attendance].[Staff_Name]" caption="Staff_Name" attribute="1" defaultMemberUniqueName="[Staff_Attendance].[Staff_Name].[All]" allUniqueName="[Staff_Attendance].[Staff_Name].[All]" dimensionUniqueName="[Staff_Attendance]" displayFolder="" count="0" memberValueDatatype="130" unbalanced="0"/>
    <cacheHierarchy uniqueName="[Staff_Attendance].[Staff_Role]" caption="Staff_Role" attribute="1" defaultMemberUniqueName="[Staff_Attendance].[Staff_Role].[All]" allUniqueName="[Staff_Attendance].[Staff_Role].[All]" dimensionUniqueName="[Staff_Attendance]" displayFolder="" count="0" memberValueDatatype="130" unbalanced="0"/>
    <cacheHierarchy uniqueName="[Staff_Attendance].[Department]" caption="Department" attribute="1" defaultMemberUniqueName="[Staff_Attendance].[Department].[All]" allUniqueName="[Staff_Attendance].[Department].[All]" dimensionUniqueName="[Staff_Attendance]" displayFolder="" count="0" memberValueDatatype="130" unbalanced="0"/>
    <cacheHierarchy uniqueName="[Staff_Attendance].[Date]" caption="Date" attribute="1" time="1" defaultMemberUniqueName="[Staff_Attendance].[Date].[All]" allUniqueName="[Staff_Attendance].[Date].[All]" dimensionUniqueName="[Staff_Attendance]" displayFolder="" count="2" memberValueDatatype="7" unbalanced="0">
      <fieldsUsage count="2">
        <fieldUsage x="-1"/>
        <fieldUsage x="2"/>
      </fieldsUsage>
    </cacheHierarchy>
    <cacheHierarchy uniqueName="[Staff_Attendance].[Clock_In (Updated)]" caption="Clock_In (Updated)" attribute="1" time="1" defaultMemberUniqueName="[Staff_Attendance].[Clock_In (Updated)].[All]" allUniqueName="[Staff_Attendance].[Clock_In (Updated)].[All]" dimensionUniqueName="[Staff_Attendance]" displayFolder="" count="0" memberValueDatatype="7" unbalanced="0"/>
    <cacheHierarchy uniqueName="[Staff_Attendance].[Clock_Out (Updated)]" caption="Clock_Out (Updated)" attribute="1" time="1" defaultMemberUniqueName="[Staff_Attendance].[Clock_Out (Updated)].[All]" allUniqueName="[Staff_Attendance].[Clock_Out (Updated)].[All]" dimensionUniqueName="[Staff_Attendance]" displayFolder="" count="0" memberValueDatatype="7" unbalanced="0"/>
    <cacheHierarchy uniqueName="[Staff_Attendance].[Hours_Worked (Updated)]" caption="Hours_Worked (Updated)" attribute="1" defaultMemberUniqueName="[Staff_Attendance].[Hours_Worked (Updated)].[All]" allUniqueName="[Staff_Attendance].[Hours_Worked (Updated)].[All]" dimensionUniqueName="[Staff_Attendance]" displayFolder="" count="0" memberValueDatatype="20" unbalanced="0"/>
    <cacheHierarchy uniqueName="[Staff_Attendance].[Shift_Type (Updated)]" caption="Shift_Type (Updated)" attribute="1" defaultMemberUniqueName="[Staff_Attendance].[Shift_Type (Updated)].[All]" allUniqueName="[Staff_Attendance].[Shift_Type (Updated)].[All]" dimensionUniqueName="[Staff_Attendance]" displayFolder="" count="0" memberValueDatatype="130" unbalanced="0"/>
    <cacheHierarchy uniqueName="[Staff_Attendance].[Attendance_Status (Updated)]" caption="Attendance_Status (Updated)" attribute="1" defaultMemberUniqueName="[Staff_Attendance].[Attendance_Status (Updated)].[All]" allUniqueName="[Staff_Attendance].[Attendance_Status (Updated)].[All]" dimensionUniqueName="[Staff_Attendance]" displayFolder="" count="0" memberValueDatatype="130" unbalanced="0"/>
    <cacheHierarchy uniqueName="[Measures].[__XL_Count Pharmacy_Sales]" caption="__XL_Count Pharmacy_Sales" measure="1" displayFolder="" measureGroup="Pharmacy_Sales" count="0" hidden="1"/>
    <cacheHierarchy uniqueName="[Measures].[__XL_Count Patient_Visits]" caption="__XL_Count Patient_Visits" measure="1" displayFolder="" measureGroup="Patient_Visits" count="0" hidden="1"/>
    <cacheHierarchy uniqueName="[Measures].[__XL_Count Staff_Attendance]" caption="__XL_Count Staff_Attendance" measure="1" displayFolder="" measureGroup="Staff_Attendance" count="0" hidden="1"/>
    <cacheHierarchy uniqueName="[Measures].[__No measures defined]" caption="__No measures defined" measure="1" displayFolder="" count="0" hidden="1"/>
    <cacheHierarchy uniqueName="[Measures].[Count of Patient_ID 2]" caption="Count of Patient_ID 2" measure="1" displayFolder="" measureGroup="Pharmacy_Sales" count="0" hidden="1">
      <extLst>
        <ext xmlns:x15="http://schemas.microsoft.com/office/spreadsheetml/2010/11/main" uri="{B97F6D7D-B522-45F9-BDA1-12C45D357490}">
          <x15:cacheHierarchy aggregatedColumn="24"/>
        </ext>
      </extLst>
    </cacheHierarchy>
    <cacheHierarchy uniqueName="[Measures].[Count of Visit_Date (Updated)]" caption="Count of Visit_Date (Updated)" measure="1" displayFolder="" measureGroup="Patient_Visits" count="0" hidden="1">
      <extLst>
        <ext xmlns:x15="http://schemas.microsoft.com/office/spreadsheetml/2010/11/main" uri="{B97F6D7D-B522-45F9-BDA1-12C45D357490}">
          <x15:cacheHierarchy aggregatedColumn="5"/>
        </ext>
      </extLst>
    </cacheHierarchy>
    <cacheHierarchy uniqueName="[Measures].[Count of Patient_ID]" caption="Count of Patient_ID" measure="1" displayFolder="" measureGroup="Patient_Visits" count="0" hidden="1">
      <extLst>
        <ext xmlns:x15="http://schemas.microsoft.com/office/spreadsheetml/2010/11/main" uri="{B97F6D7D-B522-45F9-BDA1-12C45D357490}">
          <x15:cacheHierarchy aggregatedColumn="0"/>
        </ext>
      </extLst>
    </cacheHierarchy>
    <cacheHierarchy uniqueName="[Measures].[Sum of Bill_Amount_NGN]" caption="Sum of Bill_Amount_NGN" measure="1" displayFolder="" measureGroup="Patient_Visits" count="0" hidden="1">
      <extLst>
        <ext xmlns:x15="http://schemas.microsoft.com/office/spreadsheetml/2010/11/main" uri="{B97F6D7D-B522-45F9-BDA1-12C45D357490}">
          <x15:cacheHierarchy aggregatedColumn="20"/>
        </ext>
      </extLst>
    </cacheHierarchy>
    <cacheHierarchy uniqueName="[Measures].[Average of Bill_Amount_NGN]" caption="Average of Bill_Amount_NGN" measure="1" displayFolder="" measureGroup="Patient_Visits" count="0" hidden="1">
      <extLst>
        <ext xmlns:x15="http://schemas.microsoft.com/office/spreadsheetml/2010/11/main" uri="{B97F6D7D-B522-45F9-BDA1-12C45D357490}">
          <x15:cacheHierarchy aggregatedColumn="20"/>
        </ext>
      </extLst>
    </cacheHierarchy>
    <cacheHierarchy uniqueName="[Measures].[Sum of Total_Price_NGN (Updated)]" caption="Sum of Total_Price_NGN (Updated)" measure="1" displayFolder="" measureGroup="Pharmacy_Sales" count="0" oneField="1" hidden="1">
      <fieldsUsage count="1">
        <fieldUsage x="0"/>
      </fieldsUsage>
      <extLst>
        <ext xmlns:x15="http://schemas.microsoft.com/office/spreadsheetml/2010/11/main" uri="{B97F6D7D-B522-45F9-BDA1-12C45D357490}">
          <x15:cacheHierarchy aggregatedColumn="29"/>
        </ext>
      </extLst>
    </cacheHierarchy>
  </cacheHierarchies>
  <kpis count="0"/>
  <dimensions count="4">
    <dimension measure="1" name="Measures" uniqueName="[Measures]" caption="Measures"/>
    <dimension name="Patient_Visits" uniqueName="[Patient_Visits]" caption="Patient_Visits"/>
    <dimension name="Pharmacy_Sales" uniqueName="[Pharmacy_Sales]" caption="Pharmacy_Sales"/>
    <dimension name="Staff_Attendance" uniqueName="[Staff_Attendance]" caption="Staff_Attendance"/>
  </dimensions>
  <measureGroups count="3">
    <measureGroup name="Patient_Visits" caption="Patient_Visits"/>
    <measureGroup name="Pharmacy_Sales" caption="Pharmacy_Sales"/>
    <measureGroup name="Staff_Attendance" caption="Staff_Attendance"/>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5.564857870369" backgroundQuery="1" createdVersion="8" refreshedVersion="8" minRefreshableVersion="3" recordCount="0" supportSubquery="1" supportAdvancedDrill="1" xr:uid="{A1D065B7-42DA-492C-8E5E-0483DA333675}">
  <cacheSource type="external" connectionId="4"/>
  <cacheFields count="5">
    <cacheField name="[Pharmacy_Sales].[Drug_Name].[Drug_Name]" caption="Drug_Name" numFmtId="0" hierarchy="26" level="1">
      <sharedItems count="3">
        <s v="Amlodipine 5mg"/>
        <s v="Artemether-Lumefantrine"/>
        <s v="Vitamin C 500mg"/>
      </sharedItems>
    </cacheField>
    <cacheField name="[Measures].[Sum of Total_Price_NGN (Updated)]" caption="Sum of Total_Price_NGN (Updated)" numFmtId="0" hierarchy="56" level="32767"/>
    <cacheField name="[Staff_Attendance].[Date].[Date]" caption="Date" numFmtId="0" hierarchy="41" level="1">
      <sharedItems containsSemiMixedTypes="0" containsNonDate="0" containsString="0"/>
    </cacheField>
    <cacheField name="[Patient_Visits].[Department].[Department]" caption="Department" numFmtId="0" hierarchy="8" level="1">
      <sharedItems containsSemiMixedTypes="0" containsNonDate="0" containsString="0"/>
    </cacheField>
    <cacheField name="[Patient_Visits].[State].[State]" caption="State" numFmtId="0" hierarchy="4" level="1">
      <sharedItems containsSemiMixedTypes="0" containsNonDate="0" containsString="0"/>
    </cacheField>
  </cacheFields>
  <cacheHierarchies count="57">
    <cacheHierarchy uniqueName="[Patient_Visits].[Patient_ID]" caption="Patient_ID" attribute="1" defaultMemberUniqueName="[Patient_Visits].[Patient_ID].[All]" allUniqueName="[Patient_Visits].[Patient_ID].[All]" dimensionUniqueName="[Patient_Visits]" displayFolder="" count="0" memberValueDatatype="130" unbalanced="0"/>
    <cacheHierarchy uniqueName="[Patient_Visits].[Patient_Name]" caption="Patient_Name" attribute="1" defaultMemberUniqueName="[Patient_Visits].[Patient_Name].[All]" allUniqueName="[Patient_Visits].[Patient_Name].[All]" dimensionUniqueName="[Patient_Visits]" displayFolder="" count="0" memberValueDatatype="130" unbalanced="0"/>
    <cacheHierarchy uniqueName="[Patient_Visits].[Age]" caption="Age" attribute="1" defaultMemberUniqueName="[Patient_Visits].[Age].[All]" allUniqueName="[Patient_Visits].[Age].[All]" dimensionUniqueName="[Patient_Visits]" displayFolder="" count="0" memberValueDatatype="20" unbalanced="0"/>
    <cacheHierarchy uniqueName="[Patient_Visits].[Gender]" caption="Gender" attribute="1" defaultMemberUniqueName="[Patient_Visits].[Gender].[All]" allUniqueName="[Patient_Visits].[Gender].[All]" dimensionUniqueName="[Patient_Visits]" displayFolder="" count="0" memberValueDatatype="130" unbalanced="0"/>
    <cacheHierarchy uniqueName="[Patient_Visits].[State]" caption="State" attribute="1" defaultMemberUniqueName="[Patient_Visits].[State].[All]" allUniqueName="[Patient_Visits].[State].[All]" dimensionUniqueName="[Patient_Visits]" displayFolder="" count="2" memberValueDatatype="130" unbalanced="0">
      <fieldsUsage count="2">
        <fieldUsage x="-1"/>
        <fieldUsage x="4"/>
      </fieldsUsage>
    </cacheHierarchy>
    <cacheHierarchy uniqueName="[Patient_Visits].[Visit_Date (Updated)]" caption="Visit_Date (Updated)" attribute="1" defaultMemberUniqueName="[Patient_Visits].[Visit_Date (Updated)].[All]" allUniqueName="[Patient_Visits].[Visit_Date (Updated)].[All]" dimensionUniqueName="[Patient_Visits]" displayFolder="" count="0" memberValueDatatype="130" unbalanced="0"/>
    <cacheHierarchy uniqueName="[Patient_Visits].[Column1]" caption="Column1" attribute="1" defaultMemberUniqueName="[Patient_Visits].[Column1].[All]" allUniqueName="[Patient_Visits].[Column1].[All]" dimensionUniqueName="[Patient_Visits]" displayFolder="" count="0" memberValueDatatype="130" unbalanced="0"/>
    <cacheHierarchy uniqueName="[Patient_Visits].[Month]" caption="Month" attribute="1" defaultMemberUniqueName="[Patient_Visits].[Month].[All]" allUniqueName="[Patient_Visits].[Month].[All]" dimensionUniqueName="[Patient_Visits]" displayFolder="" count="0" memberValueDatatype="130" unbalanced="0"/>
    <cacheHierarchy uniqueName="[Patient_Visits].[Department]" caption="Department" attribute="1" defaultMemberUniqueName="[Patient_Visits].[Department].[All]" allUniqueName="[Patient_Visits].[Department].[All]" dimensionUniqueName="[Patient_Visits]" displayFolder="" count="2" memberValueDatatype="130" unbalanced="0">
      <fieldsUsage count="2">
        <fieldUsage x="-1"/>
        <fieldUsage x="3"/>
      </fieldsUsage>
    </cacheHierarchy>
    <cacheHierarchy uniqueName="[Patient_Visits].[Doctor_Name]" caption="Doctor_Name" attribute="1" defaultMemberUniqueName="[Patient_Visits].[Doctor_Name].[All]" allUniqueName="[Patient_Visits].[Doctor_Name].[All]" dimensionUniqueName="[Patient_Visits]" displayFolder="" count="0" memberValueDatatype="130" unbalanced="0"/>
    <cacheHierarchy uniqueName="[Patient_Visits].[Diagnosis]" caption="Diagnosis" attribute="1" defaultMemberUniqueName="[Patient_Visits].[Diagnosis].[All]" allUniqueName="[Patient_Visits].[Diagnosis].[All]" dimensionUniqueName="[Patient_Visits]" displayFolder="" count="0" memberValueDatatype="130" unbalanced="0"/>
    <cacheHierarchy uniqueName="[Patient_Visits].[Visit_Type]" caption="Visit_Type" attribute="1" defaultMemberUniqueName="[Patient_Visits].[Visit_Type].[All]" allUniqueName="[Patient_Visits].[Visit_Type].[All]" dimensionUniqueName="[Patient_Visits]" displayFolder="" count="0" memberValueDatatype="130" unbalanced="0"/>
    <cacheHierarchy uniqueName="[Patient_Visits].[Blood_Pressure (Updated)]" caption="Blood_Pressure (Updated)" attribute="1" defaultMemberUniqueName="[Patient_Visits].[Blood_Pressure (Updated)].[All]" allUniqueName="[Patient_Visits].[Blood_Pressure (Updated)].[All]" dimensionUniqueName="[Patient_Visits]" displayFolder="" count="0" memberValueDatatype="130" unbalanced="0"/>
    <cacheHierarchy uniqueName="[Patient_Visits].[Heart_Rate_bpm]" caption="Heart_Rate_bpm" attribute="1" defaultMemberUniqueName="[Patient_Visits].[Heart_Rate_bpm].[All]" allUniqueName="[Patient_Visits].[Heart_Rate_bpm].[All]" dimensionUniqueName="[Patient_Visits]" displayFolder="" count="0" memberValueDatatype="20" unbalanced="0"/>
    <cacheHierarchy uniqueName="[Patient_Visits].[Body_Temp (Celsius)]" caption="Body_Temp (Celsius)" attribute="1" defaultMemberUniqueName="[Patient_Visits].[Body_Temp (Celsius)].[All]" allUniqueName="[Patient_Visits].[Body_Temp (Celsius)].[All]" dimensionUniqueName="[Patient_Visits]" displayFolder="" count="0" memberValueDatatype="5" unbalanced="0"/>
    <cacheHierarchy uniqueName="[Patient_Visits].[Body_Temp_C]" caption="Body_Temp_C" attribute="1" defaultMemberUniqueName="[Patient_Visits].[Body_Temp_C].[All]" allUniqueName="[Patient_Visits].[Body_Temp_C].[All]" dimensionUniqueName="[Patient_Visits]" displayFolder="" count="0" memberValueDatatype="5" unbalanced="0"/>
    <cacheHierarchy uniqueName="[Patient_Visits].[Weight_kg]" caption="Weight_kg" attribute="1" defaultMemberUniqueName="[Patient_Visits].[Weight_kg].[All]" allUniqueName="[Patient_Visits].[Weight_kg].[All]" dimensionUniqueName="[Patient_Visits]" displayFolder="" count="0" memberValueDatatype="5" unbalanced="0"/>
    <cacheHierarchy uniqueName="[Patient_Visits].[Height_cm]" caption="Height_cm" attribute="1" defaultMemberUniqueName="[Patient_Visits].[Height_cm].[All]" allUniqueName="[Patient_Visits].[Height_cm].[All]" dimensionUniqueName="[Patient_Visits]" displayFolder="" count="0" memberValueDatatype="20" unbalanced="0"/>
    <cacheHierarchy uniqueName="[Patient_Visits].[BMI]" caption="BMI" attribute="1" defaultMemberUniqueName="[Patient_Visits].[BMI].[All]" allUniqueName="[Patient_Visits].[BMI].[All]" dimensionUniqueName="[Patient_Visits]" displayFolder="" count="0" memberValueDatatype="5" unbalanced="0"/>
    <cacheHierarchy uniqueName="[Patient_Visits].[Payment_Method]" caption="Payment_Method" attribute="1" defaultMemberUniqueName="[Patient_Visits].[Payment_Method].[All]" allUniqueName="[Patient_Visits].[Payment_Method].[All]" dimensionUniqueName="[Patient_Visits]" displayFolder="" count="0" memberValueDatatype="130" unbalanced="0"/>
    <cacheHierarchy uniqueName="[Patient_Visits].[Bill_Amount_NGN]" caption="Bill_Amount_NGN" attribute="1" defaultMemberUniqueName="[Patient_Visits].[Bill_Amount_NGN].[All]" allUniqueName="[Patient_Visits].[Bill_Amount_NGN].[All]" dimensionUniqueName="[Patient_Visits]" displayFolder="" count="0" memberValueDatatype="20" unbalanced="0"/>
    <cacheHierarchy uniqueName="[Patient_Visits].[Payment_Status (Updated)]" caption="Payment_Status (Updated)" attribute="1" defaultMemberUniqueName="[Patient_Visits].[Payment_Status (Updated)].[All]" allUniqueName="[Patient_Visits].[Payment_Status (Updated)].[All]" dimensionUniqueName="[Patient_Visits]" displayFolder="" count="0" memberValueDatatype="130" unbalanced="0"/>
    <cacheHierarchy uniqueName="[Patient_Visits].[Follow_Up_Needed]" caption="Follow_Up_Needed" attribute="1" defaultMemberUniqueName="[Patient_Visits].[Follow_Up_Needed].[All]" allUniqueName="[Patient_Visits].[Follow_Up_Needed].[All]" dimensionUniqueName="[Patient_Visits]" displayFolder="" count="0" memberValueDatatype="130" unbalanced="0"/>
    <cacheHierarchy uniqueName="[Pharmacy_Sales].[Sale_ID]" caption="Sale_ID" attribute="1" defaultMemberUniqueName="[Pharmacy_Sales].[Sale_ID].[All]" allUniqueName="[Pharmacy_Sales].[Sale_ID].[All]" dimensionUniqueName="[Pharmacy_Sales]" displayFolder="" count="0" memberValueDatatype="130" unbalanced="0"/>
    <cacheHierarchy uniqueName="[Pharmacy_Sales].[Patient_ID]" caption="Patient_ID" attribute="1" defaultMemberUniqueName="[Pharmacy_Sales].[Patient_ID].[All]" allUniqueName="[Pharmacy_Sales].[Patient_ID].[All]" dimensionUniqueName="[Pharmacy_Sales]" displayFolder="" count="0" memberValueDatatype="130" unbalanced="0"/>
    <cacheHierarchy uniqueName="[Pharmacy_Sales].[Sale_Date (Updated)]" caption="Sale_Date (Updated)" attribute="1" time="1" defaultMemberUniqueName="[Pharmacy_Sales].[Sale_Date (Updated)].[All]" allUniqueName="[Pharmacy_Sales].[Sale_Date (Updated)].[All]" dimensionUniqueName="[Pharmacy_Sales]" displayFolder="" count="0" memberValueDatatype="7" unbalanced="0"/>
    <cacheHierarchy uniqueName="[Pharmacy_Sales].[Drug_Name]" caption="Drug_Name" attribute="1" defaultMemberUniqueName="[Pharmacy_Sales].[Drug_Name].[All]" allUniqueName="[Pharmacy_Sales].[Drug_Name].[All]" dimensionUniqueName="[Pharmacy_Sales]" displayFolder="" count="2" memberValueDatatype="130" unbalanced="0">
      <fieldsUsage count="2">
        <fieldUsage x="-1"/>
        <fieldUsage x="0"/>
      </fieldsUsage>
    </cacheHierarchy>
    <cacheHierarchy uniqueName="[Pharmacy_Sales].[Quantity_Sold]" caption="Quantity_Sold" attribute="1" defaultMemberUniqueName="[Pharmacy_Sales].[Quantity_Sold].[All]" allUniqueName="[Pharmacy_Sales].[Quantity_Sold].[All]" dimensionUniqueName="[Pharmacy_Sales]" displayFolder="" count="0" memberValueDatatype="20" unbalanced="0"/>
    <cacheHierarchy uniqueName="[Pharmacy_Sales].[Unit_Price_NGN]" caption="Unit_Price_NGN" attribute="1" defaultMemberUniqueName="[Pharmacy_Sales].[Unit_Price_NGN].[All]" allUniqueName="[Pharmacy_Sales].[Unit_Price_NGN].[All]" dimensionUniqueName="[Pharmacy_Sales]" displayFolder="" count="0" memberValueDatatype="20" unbalanced="0"/>
    <cacheHierarchy uniqueName="[Pharmacy_Sales].[Total_Price_NGN (Updated)]" caption="Total_Price_NGN (Updated)" attribute="1" defaultMemberUniqueName="[Pharmacy_Sales].[Total_Price_NGN (Updated)].[All]" allUniqueName="[Pharmacy_Sales].[Total_Price_NGN (Updated)].[All]" dimensionUniqueName="[Pharmacy_Sales]" displayFolder="" count="0" memberValueDatatype="20" unbalanced="0"/>
    <cacheHierarchy uniqueName="[Pharmacy_Sales].[Pharmacist]" caption="Pharmacist" attribute="1" defaultMemberUniqueName="[Pharmacy_Sales].[Pharmacist].[All]" allUniqueName="[Pharmacy_Sales].[Pharmacist].[All]" dimensionUniqueName="[Pharmacy_Sales]" displayFolder="" count="0" memberValueDatatype="130" unbalanced="0"/>
    <cacheHierarchy uniqueName="[Pharmacy_Sales].[Prescription_Required]" caption="Prescription_Required" attribute="1" defaultMemberUniqueName="[Pharmacy_Sales].[Prescription_Required].[All]" allUniqueName="[Pharmacy_Sales].[Prescription_Required].[All]" dimensionUniqueName="[Pharmacy_Sales]" displayFolder="" count="0" memberValueDatatype="130" unbalanced="0"/>
    <cacheHierarchy uniqueName="[Pharmacy_Sales].[Prescription_Provided]" caption="Prescription_Provided" attribute="1" defaultMemberUniqueName="[Pharmacy_Sales].[Prescription_Provided].[All]" allUniqueName="[Pharmacy_Sales].[Prescription_Provided].[All]" dimensionUniqueName="[Pharmacy_Sales]" displayFolder="" count="0" memberValueDatatype="130" unbalanced="0"/>
    <cacheHierarchy uniqueName="[Pharmacy_Sales].[Prescription_Compliance]" caption="Prescription_Compliance" attribute="1" defaultMemberUniqueName="[Pharmacy_Sales].[Prescription_Compliance].[All]" allUniqueName="[Pharmacy_Sales].[Prescription_Compliance].[All]" dimensionUniqueName="[Pharmacy_Sales]" displayFolder="" count="0" memberValueDatatype="130" unbalanced="0"/>
    <cacheHierarchy uniqueName="[Pharmacy_Sales].[Stock_After_Sale]" caption="Stock_After_Sale" attribute="1" defaultMemberUniqueName="[Pharmacy_Sales].[Stock_After_Sale].[All]" allUniqueName="[Pharmacy_Sales].[Stock_After_Sale].[All]" dimensionUniqueName="[Pharmacy_Sales]" displayFolder="" count="0" memberValueDatatype="20" unbalanced="0"/>
    <cacheHierarchy uniqueName="[Pharmacy_Sales].[Expiry_Date]" caption="Expiry_Date" attribute="1" time="1" defaultMemberUniqueName="[Pharmacy_Sales].[Expiry_Date].[All]" allUniqueName="[Pharmacy_Sales].[Expiry_Date].[All]" dimensionUniqueName="[Pharmacy_Sales]" displayFolder="" count="0" memberValueDatatype="7" unbalanced="0"/>
    <cacheHierarchy uniqueName="[Pharmacy_Sales].[Expiry_Drug_Sold]" caption="Expiry_Drug_Sold" attribute="1" defaultMemberUniqueName="[Pharmacy_Sales].[Expiry_Drug_Sold].[All]" allUniqueName="[Pharmacy_Sales].[Expiry_Drug_Sold].[All]" dimensionUniqueName="[Pharmacy_Sales]" displayFolder="" count="0" memberValueDatatype="130" unbalanced="0"/>
    <cacheHierarchy uniqueName="[Staff_Attendance].[Record_ID]" caption="Record_ID" attribute="1" defaultMemberUniqueName="[Staff_Attendance].[Record_ID].[All]" allUniqueName="[Staff_Attendance].[Record_ID].[All]" dimensionUniqueName="[Staff_Attendance]" displayFolder="" count="0" memberValueDatatype="130" unbalanced="0"/>
    <cacheHierarchy uniqueName="[Staff_Attendance].[Staff_Name]" caption="Staff_Name" attribute="1" defaultMemberUniqueName="[Staff_Attendance].[Staff_Name].[All]" allUniqueName="[Staff_Attendance].[Staff_Name].[All]" dimensionUniqueName="[Staff_Attendance]" displayFolder="" count="0" memberValueDatatype="130" unbalanced="0"/>
    <cacheHierarchy uniqueName="[Staff_Attendance].[Staff_Role]" caption="Staff_Role" attribute="1" defaultMemberUniqueName="[Staff_Attendance].[Staff_Role].[All]" allUniqueName="[Staff_Attendance].[Staff_Role].[All]" dimensionUniqueName="[Staff_Attendance]" displayFolder="" count="0" memberValueDatatype="130" unbalanced="0"/>
    <cacheHierarchy uniqueName="[Staff_Attendance].[Department]" caption="Department" attribute="1" defaultMemberUniqueName="[Staff_Attendance].[Department].[All]" allUniqueName="[Staff_Attendance].[Department].[All]" dimensionUniqueName="[Staff_Attendance]" displayFolder="" count="0" memberValueDatatype="130" unbalanced="0"/>
    <cacheHierarchy uniqueName="[Staff_Attendance].[Date]" caption="Date" attribute="1" time="1" defaultMemberUniqueName="[Staff_Attendance].[Date].[All]" allUniqueName="[Staff_Attendance].[Date].[All]" dimensionUniqueName="[Staff_Attendance]" displayFolder="" count="2" memberValueDatatype="7" unbalanced="0">
      <fieldsUsage count="2">
        <fieldUsage x="-1"/>
        <fieldUsage x="2"/>
      </fieldsUsage>
    </cacheHierarchy>
    <cacheHierarchy uniqueName="[Staff_Attendance].[Clock_In (Updated)]" caption="Clock_In (Updated)" attribute="1" time="1" defaultMemberUniqueName="[Staff_Attendance].[Clock_In (Updated)].[All]" allUniqueName="[Staff_Attendance].[Clock_In (Updated)].[All]" dimensionUniqueName="[Staff_Attendance]" displayFolder="" count="0" memberValueDatatype="7" unbalanced="0"/>
    <cacheHierarchy uniqueName="[Staff_Attendance].[Clock_Out (Updated)]" caption="Clock_Out (Updated)" attribute="1" time="1" defaultMemberUniqueName="[Staff_Attendance].[Clock_Out (Updated)].[All]" allUniqueName="[Staff_Attendance].[Clock_Out (Updated)].[All]" dimensionUniqueName="[Staff_Attendance]" displayFolder="" count="0" memberValueDatatype="7" unbalanced="0"/>
    <cacheHierarchy uniqueName="[Staff_Attendance].[Hours_Worked (Updated)]" caption="Hours_Worked (Updated)" attribute="1" defaultMemberUniqueName="[Staff_Attendance].[Hours_Worked (Updated)].[All]" allUniqueName="[Staff_Attendance].[Hours_Worked (Updated)].[All]" dimensionUniqueName="[Staff_Attendance]" displayFolder="" count="0" memberValueDatatype="20" unbalanced="0"/>
    <cacheHierarchy uniqueName="[Staff_Attendance].[Shift_Type (Updated)]" caption="Shift_Type (Updated)" attribute="1" defaultMemberUniqueName="[Staff_Attendance].[Shift_Type (Updated)].[All]" allUniqueName="[Staff_Attendance].[Shift_Type (Updated)].[All]" dimensionUniqueName="[Staff_Attendance]" displayFolder="" count="0" memberValueDatatype="130" unbalanced="0"/>
    <cacheHierarchy uniqueName="[Staff_Attendance].[Attendance_Status (Updated)]" caption="Attendance_Status (Updated)" attribute="1" defaultMemberUniqueName="[Staff_Attendance].[Attendance_Status (Updated)].[All]" allUniqueName="[Staff_Attendance].[Attendance_Status (Updated)].[All]" dimensionUniqueName="[Staff_Attendance]" displayFolder="" count="0" memberValueDatatype="130" unbalanced="0"/>
    <cacheHierarchy uniqueName="[Measures].[__XL_Count Pharmacy_Sales]" caption="__XL_Count Pharmacy_Sales" measure="1" displayFolder="" measureGroup="Pharmacy_Sales" count="0" hidden="1"/>
    <cacheHierarchy uniqueName="[Measures].[__XL_Count Patient_Visits]" caption="__XL_Count Patient_Visits" measure="1" displayFolder="" measureGroup="Patient_Visits" count="0" hidden="1"/>
    <cacheHierarchy uniqueName="[Measures].[__XL_Count Staff_Attendance]" caption="__XL_Count Staff_Attendance" measure="1" displayFolder="" measureGroup="Staff_Attendance" count="0" hidden="1"/>
    <cacheHierarchy uniqueName="[Measures].[__No measures defined]" caption="__No measures defined" measure="1" displayFolder="" count="0" hidden="1"/>
    <cacheHierarchy uniqueName="[Measures].[Count of Patient_ID 2]" caption="Count of Patient_ID 2" measure="1" displayFolder="" measureGroup="Pharmacy_Sales" count="0" hidden="1">
      <extLst>
        <ext xmlns:x15="http://schemas.microsoft.com/office/spreadsheetml/2010/11/main" uri="{B97F6D7D-B522-45F9-BDA1-12C45D357490}">
          <x15:cacheHierarchy aggregatedColumn="24"/>
        </ext>
      </extLst>
    </cacheHierarchy>
    <cacheHierarchy uniqueName="[Measures].[Count of Visit_Date (Updated)]" caption="Count of Visit_Date (Updated)" measure="1" displayFolder="" measureGroup="Patient_Visits" count="0" hidden="1">
      <extLst>
        <ext xmlns:x15="http://schemas.microsoft.com/office/spreadsheetml/2010/11/main" uri="{B97F6D7D-B522-45F9-BDA1-12C45D357490}">
          <x15:cacheHierarchy aggregatedColumn="5"/>
        </ext>
      </extLst>
    </cacheHierarchy>
    <cacheHierarchy uniqueName="[Measures].[Count of Patient_ID]" caption="Count of Patient_ID" measure="1" displayFolder="" measureGroup="Patient_Visits" count="0" hidden="1">
      <extLst>
        <ext xmlns:x15="http://schemas.microsoft.com/office/spreadsheetml/2010/11/main" uri="{B97F6D7D-B522-45F9-BDA1-12C45D357490}">
          <x15:cacheHierarchy aggregatedColumn="0"/>
        </ext>
      </extLst>
    </cacheHierarchy>
    <cacheHierarchy uniqueName="[Measures].[Sum of Bill_Amount_NGN]" caption="Sum of Bill_Amount_NGN" measure="1" displayFolder="" measureGroup="Patient_Visits" count="0" hidden="1">
      <extLst>
        <ext xmlns:x15="http://schemas.microsoft.com/office/spreadsheetml/2010/11/main" uri="{B97F6D7D-B522-45F9-BDA1-12C45D357490}">
          <x15:cacheHierarchy aggregatedColumn="20"/>
        </ext>
      </extLst>
    </cacheHierarchy>
    <cacheHierarchy uniqueName="[Measures].[Average of Bill_Amount_NGN]" caption="Average of Bill_Amount_NGN" measure="1" displayFolder="" measureGroup="Patient_Visits" count="0" hidden="1">
      <extLst>
        <ext xmlns:x15="http://schemas.microsoft.com/office/spreadsheetml/2010/11/main" uri="{B97F6D7D-B522-45F9-BDA1-12C45D357490}">
          <x15:cacheHierarchy aggregatedColumn="20"/>
        </ext>
      </extLst>
    </cacheHierarchy>
    <cacheHierarchy uniqueName="[Measures].[Sum of Total_Price_NGN (Updated)]" caption="Sum of Total_Price_NGN (Updated)" measure="1" displayFolder="" measureGroup="Pharmacy_Sales" count="0" oneField="1" hidden="1">
      <fieldsUsage count="1">
        <fieldUsage x="1"/>
      </fieldsUsage>
      <extLst>
        <ext xmlns:x15="http://schemas.microsoft.com/office/spreadsheetml/2010/11/main" uri="{B97F6D7D-B522-45F9-BDA1-12C45D357490}">
          <x15:cacheHierarchy aggregatedColumn="29"/>
        </ext>
      </extLst>
    </cacheHierarchy>
  </cacheHierarchies>
  <kpis count="0"/>
  <dimensions count="4">
    <dimension measure="1" name="Measures" uniqueName="[Measures]" caption="Measures"/>
    <dimension name="Patient_Visits" uniqueName="[Patient_Visits]" caption="Patient_Visits"/>
    <dimension name="Pharmacy_Sales" uniqueName="[Pharmacy_Sales]" caption="Pharmacy_Sales"/>
    <dimension name="Staff_Attendance" uniqueName="[Staff_Attendance]" caption="Staff_Attendance"/>
  </dimensions>
  <measureGroups count="3">
    <measureGroup name="Patient_Visits" caption="Patient_Visits"/>
    <measureGroup name="Pharmacy_Sales" caption="Pharmacy_Sales"/>
    <measureGroup name="Staff_Attendance" caption="Staff_Attendance"/>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5.564860300925" backgroundQuery="1" createdVersion="8" refreshedVersion="8" minRefreshableVersion="3" recordCount="0" supportSubquery="1" supportAdvancedDrill="1" xr:uid="{DC87F605-3136-40F0-B5BE-B4326D6523A3}">
  <cacheSource type="external" connectionId="4"/>
  <cacheFields count="5">
    <cacheField name="[Patient_Visits].[Diagnosis].[Diagnosis]" caption="Diagnosis" numFmtId="0" hierarchy="10" level="1">
      <sharedItems count="5">
        <s v="Anaemia"/>
        <s v="Dental Caries"/>
        <s v="Hypertension"/>
        <s v="Malaria"/>
        <s v="Upper Respiratory Infection"/>
      </sharedItems>
    </cacheField>
    <cacheField name="[Measures].[Count of Patient_ID]" caption="Count of Patient_ID" numFmtId="0" hierarchy="53" level="32767"/>
    <cacheField name="[Staff_Attendance].[Date].[Date]" caption="Date" numFmtId="0" hierarchy="41" level="1">
      <sharedItems containsSemiMixedTypes="0" containsNonDate="0" containsString="0"/>
    </cacheField>
    <cacheField name="[Patient_Visits].[Department].[Department]" caption="Department" numFmtId="0" hierarchy="8" level="1">
      <sharedItems containsSemiMixedTypes="0" containsNonDate="0" containsString="0"/>
    </cacheField>
    <cacheField name="[Patient_Visits].[State].[State]" caption="State" numFmtId="0" hierarchy="4" level="1">
      <sharedItems containsSemiMixedTypes="0" containsNonDate="0" containsString="0"/>
    </cacheField>
  </cacheFields>
  <cacheHierarchies count="57">
    <cacheHierarchy uniqueName="[Patient_Visits].[Patient_ID]" caption="Patient_ID" attribute="1" defaultMemberUniqueName="[Patient_Visits].[Patient_ID].[All]" allUniqueName="[Patient_Visits].[Patient_ID].[All]" dimensionUniqueName="[Patient_Visits]" displayFolder="" count="0" memberValueDatatype="130" unbalanced="0"/>
    <cacheHierarchy uniqueName="[Patient_Visits].[Patient_Name]" caption="Patient_Name" attribute="1" defaultMemberUniqueName="[Patient_Visits].[Patient_Name].[All]" allUniqueName="[Patient_Visits].[Patient_Name].[All]" dimensionUniqueName="[Patient_Visits]" displayFolder="" count="0" memberValueDatatype="130" unbalanced="0"/>
    <cacheHierarchy uniqueName="[Patient_Visits].[Age]" caption="Age" attribute="1" defaultMemberUniqueName="[Patient_Visits].[Age].[All]" allUniqueName="[Patient_Visits].[Age].[All]" dimensionUniqueName="[Patient_Visits]" displayFolder="" count="0" memberValueDatatype="20" unbalanced="0"/>
    <cacheHierarchy uniqueName="[Patient_Visits].[Gender]" caption="Gender" attribute="1" defaultMemberUniqueName="[Patient_Visits].[Gender].[All]" allUniqueName="[Patient_Visits].[Gender].[All]" dimensionUniqueName="[Patient_Visits]" displayFolder="" count="0" memberValueDatatype="130" unbalanced="0"/>
    <cacheHierarchy uniqueName="[Patient_Visits].[State]" caption="State" attribute="1" defaultMemberUniqueName="[Patient_Visits].[State].[All]" allUniqueName="[Patient_Visits].[State].[All]" dimensionUniqueName="[Patient_Visits]" displayFolder="" count="2" memberValueDatatype="130" unbalanced="0">
      <fieldsUsage count="2">
        <fieldUsage x="-1"/>
        <fieldUsage x="4"/>
      </fieldsUsage>
    </cacheHierarchy>
    <cacheHierarchy uniqueName="[Patient_Visits].[Visit_Date (Updated)]" caption="Visit_Date (Updated)" attribute="1" defaultMemberUniqueName="[Patient_Visits].[Visit_Date (Updated)].[All]" allUniqueName="[Patient_Visits].[Visit_Date (Updated)].[All]" dimensionUniqueName="[Patient_Visits]" displayFolder="" count="0" memberValueDatatype="130" unbalanced="0"/>
    <cacheHierarchy uniqueName="[Patient_Visits].[Column1]" caption="Column1" attribute="1" defaultMemberUniqueName="[Patient_Visits].[Column1].[All]" allUniqueName="[Patient_Visits].[Column1].[All]" dimensionUniqueName="[Patient_Visits]" displayFolder="" count="0" memberValueDatatype="130" unbalanced="0"/>
    <cacheHierarchy uniqueName="[Patient_Visits].[Month]" caption="Month" attribute="1" defaultMemberUniqueName="[Patient_Visits].[Month].[All]" allUniqueName="[Patient_Visits].[Month].[All]" dimensionUniqueName="[Patient_Visits]" displayFolder="" count="0" memberValueDatatype="130" unbalanced="0"/>
    <cacheHierarchy uniqueName="[Patient_Visits].[Department]" caption="Department" attribute="1" defaultMemberUniqueName="[Patient_Visits].[Department].[All]" allUniqueName="[Patient_Visits].[Department].[All]" dimensionUniqueName="[Patient_Visits]" displayFolder="" count="2" memberValueDatatype="130" unbalanced="0">
      <fieldsUsage count="2">
        <fieldUsage x="-1"/>
        <fieldUsage x="3"/>
      </fieldsUsage>
    </cacheHierarchy>
    <cacheHierarchy uniqueName="[Patient_Visits].[Doctor_Name]" caption="Doctor_Name" attribute="1" defaultMemberUniqueName="[Patient_Visits].[Doctor_Name].[All]" allUniqueName="[Patient_Visits].[Doctor_Name].[All]" dimensionUniqueName="[Patient_Visits]" displayFolder="" count="0" memberValueDatatype="130" unbalanced="0"/>
    <cacheHierarchy uniqueName="[Patient_Visits].[Diagnosis]" caption="Diagnosis" attribute="1" defaultMemberUniqueName="[Patient_Visits].[Diagnosis].[All]" allUniqueName="[Patient_Visits].[Diagnosis].[All]" dimensionUniqueName="[Patient_Visits]" displayFolder="" count="2" memberValueDatatype="130" unbalanced="0">
      <fieldsUsage count="2">
        <fieldUsage x="-1"/>
        <fieldUsage x="0"/>
      </fieldsUsage>
    </cacheHierarchy>
    <cacheHierarchy uniqueName="[Patient_Visits].[Visit_Type]" caption="Visit_Type" attribute="1" defaultMemberUniqueName="[Patient_Visits].[Visit_Type].[All]" allUniqueName="[Patient_Visits].[Visit_Type].[All]" dimensionUniqueName="[Patient_Visits]" displayFolder="" count="0" memberValueDatatype="130" unbalanced="0"/>
    <cacheHierarchy uniqueName="[Patient_Visits].[Blood_Pressure (Updated)]" caption="Blood_Pressure (Updated)" attribute="1" defaultMemberUniqueName="[Patient_Visits].[Blood_Pressure (Updated)].[All]" allUniqueName="[Patient_Visits].[Blood_Pressure (Updated)].[All]" dimensionUniqueName="[Patient_Visits]" displayFolder="" count="0" memberValueDatatype="130" unbalanced="0"/>
    <cacheHierarchy uniqueName="[Patient_Visits].[Heart_Rate_bpm]" caption="Heart_Rate_bpm" attribute="1" defaultMemberUniqueName="[Patient_Visits].[Heart_Rate_bpm].[All]" allUniqueName="[Patient_Visits].[Heart_Rate_bpm].[All]" dimensionUniqueName="[Patient_Visits]" displayFolder="" count="0" memberValueDatatype="20" unbalanced="0"/>
    <cacheHierarchy uniqueName="[Patient_Visits].[Body_Temp (Celsius)]" caption="Body_Temp (Celsius)" attribute="1" defaultMemberUniqueName="[Patient_Visits].[Body_Temp (Celsius)].[All]" allUniqueName="[Patient_Visits].[Body_Temp (Celsius)].[All]" dimensionUniqueName="[Patient_Visits]" displayFolder="" count="0" memberValueDatatype="5" unbalanced="0"/>
    <cacheHierarchy uniqueName="[Patient_Visits].[Body_Temp_C]" caption="Body_Temp_C" attribute="1" defaultMemberUniqueName="[Patient_Visits].[Body_Temp_C].[All]" allUniqueName="[Patient_Visits].[Body_Temp_C].[All]" dimensionUniqueName="[Patient_Visits]" displayFolder="" count="0" memberValueDatatype="5" unbalanced="0"/>
    <cacheHierarchy uniqueName="[Patient_Visits].[Weight_kg]" caption="Weight_kg" attribute="1" defaultMemberUniqueName="[Patient_Visits].[Weight_kg].[All]" allUniqueName="[Patient_Visits].[Weight_kg].[All]" dimensionUniqueName="[Patient_Visits]" displayFolder="" count="0" memberValueDatatype="5" unbalanced="0"/>
    <cacheHierarchy uniqueName="[Patient_Visits].[Height_cm]" caption="Height_cm" attribute="1" defaultMemberUniqueName="[Patient_Visits].[Height_cm].[All]" allUniqueName="[Patient_Visits].[Height_cm].[All]" dimensionUniqueName="[Patient_Visits]" displayFolder="" count="0" memberValueDatatype="20" unbalanced="0"/>
    <cacheHierarchy uniqueName="[Patient_Visits].[BMI]" caption="BMI" attribute="1" defaultMemberUniqueName="[Patient_Visits].[BMI].[All]" allUniqueName="[Patient_Visits].[BMI].[All]" dimensionUniqueName="[Patient_Visits]" displayFolder="" count="0" memberValueDatatype="5" unbalanced="0"/>
    <cacheHierarchy uniqueName="[Patient_Visits].[Payment_Method]" caption="Payment_Method" attribute="1" defaultMemberUniqueName="[Patient_Visits].[Payment_Method].[All]" allUniqueName="[Patient_Visits].[Payment_Method].[All]" dimensionUniqueName="[Patient_Visits]" displayFolder="" count="0" memberValueDatatype="130" unbalanced="0"/>
    <cacheHierarchy uniqueName="[Patient_Visits].[Bill_Amount_NGN]" caption="Bill_Amount_NGN" attribute="1" defaultMemberUniqueName="[Patient_Visits].[Bill_Amount_NGN].[All]" allUniqueName="[Patient_Visits].[Bill_Amount_NGN].[All]" dimensionUniqueName="[Patient_Visits]" displayFolder="" count="0" memberValueDatatype="20" unbalanced="0"/>
    <cacheHierarchy uniqueName="[Patient_Visits].[Payment_Status (Updated)]" caption="Payment_Status (Updated)" attribute="1" defaultMemberUniqueName="[Patient_Visits].[Payment_Status (Updated)].[All]" allUniqueName="[Patient_Visits].[Payment_Status (Updated)].[All]" dimensionUniqueName="[Patient_Visits]" displayFolder="" count="0" memberValueDatatype="130" unbalanced="0"/>
    <cacheHierarchy uniqueName="[Patient_Visits].[Follow_Up_Needed]" caption="Follow_Up_Needed" attribute="1" defaultMemberUniqueName="[Patient_Visits].[Follow_Up_Needed].[All]" allUniqueName="[Patient_Visits].[Follow_Up_Needed].[All]" dimensionUniqueName="[Patient_Visits]" displayFolder="" count="0" memberValueDatatype="130" unbalanced="0"/>
    <cacheHierarchy uniqueName="[Pharmacy_Sales].[Sale_ID]" caption="Sale_ID" attribute="1" defaultMemberUniqueName="[Pharmacy_Sales].[Sale_ID].[All]" allUniqueName="[Pharmacy_Sales].[Sale_ID].[All]" dimensionUniqueName="[Pharmacy_Sales]" displayFolder="" count="0" memberValueDatatype="130" unbalanced="0"/>
    <cacheHierarchy uniqueName="[Pharmacy_Sales].[Patient_ID]" caption="Patient_ID" attribute="1" defaultMemberUniqueName="[Pharmacy_Sales].[Patient_ID].[All]" allUniqueName="[Pharmacy_Sales].[Patient_ID].[All]" dimensionUniqueName="[Pharmacy_Sales]" displayFolder="" count="0" memberValueDatatype="130" unbalanced="0"/>
    <cacheHierarchy uniqueName="[Pharmacy_Sales].[Sale_Date (Updated)]" caption="Sale_Date (Updated)" attribute="1" time="1" defaultMemberUniqueName="[Pharmacy_Sales].[Sale_Date (Updated)].[All]" allUniqueName="[Pharmacy_Sales].[Sale_Date (Updated)].[All]" dimensionUniqueName="[Pharmacy_Sales]" displayFolder="" count="0" memberValueDatatype="7" unbalanced="0"/>
    <cacheHierarchy uniqueName="[Pharmacy_Sales].[Drug_Name]" caption="Drug_Name" attribute="1" defaultMemberUniqueName="[Pharmacy_Sales].[Drug_Name].[All]" allUniqueName="[Pharmacy_Sales].[Drug_Name].[All]" dimensionUniqueName="[Pharmacy_Sales]" displayFolder="" count="0" memberValueDatatype="130" unbalanced="0"/>
    <cacheHierarchy uniqueName="[Pharmacy_Sales].[Quantity_Sold]" caption="Quantity_Sold" attribute="1" defaultMemberUniqueName="[Pharmacy_Sales].[Quantity_Sold].[All]" allUniqueName="[Pharmacy_Sales].[Quantity_Sold].[All]" dimensionUniqueName="[Pharmacy_Sales]" displayFolder="" count="0" memberValueDatatype="20" unbalanced="0"/>
    <cacheHierarchy uniqueName="[Pharmacy_Sales].[Unit_Price_NGN]" caption="Unit_Price_NGN" attribute="1" defaultMemberUniqueName="[Pharmacy_Sales].[Unit_Price_NGN].[All]" allUniqueName="[Pharmacy_Sales].[Unit_Price_NGN].[All]" dimensionUniqueName="[Pharmacy_Sales]" displayFolder="" count="0" memberValueDatatype="20" unbalanced="0"/>
    <cacheHierarchy uniqueName="[Pharmacy_Sales].[Total_Price_NGN (Updated)]" caption="Total_Price_NGN (Updated)" attribute="1" defaultMemberUniqueName="[Pharmacy_Sales].[Total_Price_NGN (Updated)].[All]" allUniqueName="[Pharmacy_Sales].[Total_Price_NGN (Updated)].[All]" dimensionUniqueName="[Pharmacy_Sales]" displayFolder="" count="0" memberValueDatatype="20" unbalanced="0"/>
    <cacheHierarchy uniqueName="[Pharmacy_Sales].[Pharmacist]" caption="Pharmacist" attribute="1" defaultMemberUniqueName="[Pharmacy_Sales].[Pharmacist].[All]" allUniqueName="[Pharmacy_Sales].[Pharmacist].[All]" dimensionUniqueName="[Pharmacy_Sales]" displayFolder="" count="0" memberValueDatatype="130" unbalanced="0"/>
    <cacheHierarchy uniqueName="[Pharmacy_Sales].[Prescription_Required]" caption="Prescription_Required" attribute="1" defaultMemberUniqueName="[Pharmacy_Sales].[Prescription_Required].[All]" allUniqueName="[Pharmacy_Sales].[Prescription_Required].[All]" dimensionUniqueName="[Pharmacy_Sales]" displayFolder="" count="0" memberValueDatatype="130" unbalanced="0"/>
    <cacheHierarchy uniqueName="[Pharmacy_Sales].[Prescription_Provided]" caption="Prescription_Provided" attribute="1" defaultMemberUniqueName="[Pharmacy_Sales].[Prescription_Provided].[All]" allUniqueName="[Pharmacy_Sales].[Prescription_Provided].[All]" dimensionUniqueName="[Pharmacy_Sales]" displayFolder="" count="0" memberValueDatatype="130" unbalanced="0"/>
    <cacheHierarchy uniqueName="[Pharmacy_Sales].[Prescription_Compliance]" caption="Prescription_Compliance" attribute="1" defaultMemberUniqueName="[Pharmacy_Sales].[Prescription_Compliance].[All]" allUniqueName="[Pharmacy_Sales].[Prescription_Compliance].[All]" dimensionUniqueName="[Pharmacy_Sales]" displayFolder="" count="0" memberValueDatatype="130" unbalanced="0"/>
    <cacheHierarchy uniqueName="[Pharmacy_Sales].[Stock_After_Sale]" caption="Stock_After_Sale" attribute="1" defaultMemberUniqueName="[Pharmacy_Sales].[Stock_After_Sale].[All]" allUniqueName="[Pharmacy_Sales].[Stock_After_Sale].[All]" dimensionUniqueName="[Pharmacy_Sales]" displayFolder="" count="0" memberValueDatatype="20" unbalanced="0"/>
    <cacheHierarchy uniqueName="[Pharmacy_Sales].[Expiry_Date]" caption="Expiry_Date" attribute="1" time="1" defaultMemberUniqueName="[Pharmacy_Sales].[Expiry_Date].[All]" allUniqueName="[Pharmacy_Sales].[Expiry_Date].[All]" dimensionUniqueName="[Pharmacy_Sales]" displayFolder="" count="0" memberValueDatatype="7" unbalanced="0"/>
    <cacheHierarchy uniqueName="[Pharmacy_Sales].[Expiry_Drug_Sold]" caption="Expiry_Drug_Sold" attribute="1" defaultMemberUniqueName="[Pharmacy_Sales].[Expiry_Drug_Sold].[All]" allUniqueName="[Pharmacy_Sales].[Expiry_Drug_Sold].[All]" dimensionUniqueName="[Pharmacy_Sales]" displayFolder="" count="0" memberValueDatatype="130" unbalanced="0"/>
    <cacheHierarchy uniqueName="[Staff_Attendance].[Record_ID]" caption="Record_ID" attribute="1" defaultMemberUniqueName="[Staff_Attendance].[Record_ID].[All]" allUniqueName="[Staff_Attendance].[Record_ID].[All]" dimensionUniqueName="[Staff_Attendance]" displayFolder="" count="0" memberValueDatatype="130" unbalanced="0"/>
    <cacheHierarchy uniqueName="[Staff_Attendance].[Staff_Name]" caption="Staff_Name" attribute="1" defaultMemberUniqueName="[Staff_Attendance].[Staff_Name].[All]" allUniqueName="[Staff_Attendance].[Staff_Name].[All]" dimensionUniqueName="[Staff_Attendance]" displayFolder="" count="0" memberValueDatatype="130" unbalanced="0"/>
    <cacheHierarchy uniqueName="[Staff_Attendance].[Staff_Role]" caption="Staff_Role" attribute="1" defaultMemberUniqueName="[Staff_Attendance].[Staff_Role].[All]" allUniqueName="[Staff_Attendance].[Staff_Role].[All]" dimensionUniqueName="[Staff_Attendance]" displayFolder="" count="0" memberValueDatatype="130" unbalanced="0"/>
    <cacheHierarchy uniqueName="[Staff_Attendance].[Department]" caption="Department" attribute="1" defaultMemberUniqueName="[Staff_Attendance].[Department].[All]" allUniqueName="[Staff_Attendance].[Department].[All]" dimensionUniqueName="[Staff_Attendance]" displayFolder="" count="0" memberValueDatatype="130" unbalanced="0"/>
    <cacheHierarchy uniqueName="[Staff_Attendance].[Date]" caption="Date" attribute="1" time="1" defaultMemberUniqueName="[Staff_Attendance].[Date].[All]" allUniqueName="[Staff_Attendance].[Date].[All]" dimensionUniqueName="[Staff_Attendance]" displayFolder="" count="2" memberValueDatatype="7" unbalanced="0">
      <fieldsUsage count="2">
        <fieldUsage x="-1"/>
        <fieldUsage x="2"/>
      </fieldsUsage>
    </cacheHierarchy>
    <cacheHierarchy uniqueName="[Staff_Attendance].[Clock_In (Updated)]" caption="Clock_In (Updated)" attribute="1" time="1" defaultMemberUniqueName="[Staff_Attendance].[Clock_In (Updated)].[All]" allUniqueName="[Staff_Attendance].[Clock_In (Updated)].[All]" dimensionUniqueName="[Staff_Attendance]" displayFolder="" count="0" memberValueDatatype="7" unbalanced="0"/>
    <cacheHierarchy uniqueName="[Staff_Attendance].[Clock_Out (Updated)]" caption="Clock_Out (Updated)" attribute="1" time="1" defaultMemberUniqueName="[Staff_Attendance].[Clock_Out (Updated)].[All]" allUniqueName="[Staff_Attendance].[Clock_Out (Updated)].[All]" dimensionUniqueName="[Staff_Attendance]" displayFolder="" count="0" memberValueDatatype="7" unbalanced="0"/>
    <cacheHierarchy uniqueName="[Staff_Attendance].[Hours_Worked (Updated)]" caption="Hours_Worked (Updated)" attribute="1" defaultMemberUniqueName="[Staff_Attendance].[Hours_Worked (Updated)].[All]" allUniqueName="[Staff_Attendance].[Hours_Worked (Updated)].[All]" dimensionUniqueName="[Staff_Attendance]" displayFolder="" count="0" memberValueDatatype="20" unbalanced="0"/>
    <cacheHierarchy uniqueName="[Staff_Attendance].[Shift_Type (Updated)]" caption="Shift_Type (Updated)" attribute="1" defaultMemberUniqueName="[Staff_Attendance].[Shift_Type (Updated)].[All]" allUniqueName="[Staff_Attendance].[Shift_Type (Updated)].[All]" dimensionUniqueName="[Staff_Attendance]" displayFolder="" count="0" memberValueDatatype="130" unbalanced="0"/>
    <cacheHierarchy uniqueName="[Staff_Attendance].[Attendance_Status (Updated)]" caption="Attendance_Status (Updated)" attribute="1" defaultMemberUniqueName="[Staff_Attendance].[Attendance_Status (Updated)].[All]" allUniqueName="[Staff_Attendance].[Attendance_Status (Updated)].[All]" dimensionUniqueName="[Staff_Attendance]" displayFolder="" count="0" memberValueDatatype="130" unbalanced="0"/>
    <cacheHierarchy uniqueName="[Measures].[__XL_Count Pharmacy_Sales]" caption="__XL_Count Pharmacy_Sales" measure="1" displayFolder="" measureGroup="Pharmacy_Sales" count="0" hidden="1"/>
    <cacheHierarchy uniqueName="[Measures].[__XL_Count Patient_Visits]" caption="__XL_Count Patient_Visits" measure="1" displayFolder="" measureGroup="Patient_Visits" count="0" hidden="1"/>
    <cacheHierarchy uniqueName="[Measures].[__XL_Count Staff_Attendance]" caption="__XL_Count Staff_Attendance" measure="1" displayFolder="" measureGroup="Staff_Attendance" count="0" hidden="1"/>
    <cacheHierarchy uniqueName="[Measures].[__No measures defined]" caption="__No measures defined" measure="1" displayFolder="" count="0" hidden="1"/>
    <cacheHierarchy uniqueName="[Measures].[Count of Patient_ID 2]" caption="Count of Patient_ID 2" measure="1" displayFolder="" measureGroup="Pharmacy_Sales" count="0" hidden="1">
      <extLst>
        <ext xmlns:x15="http://schemas.microsoft.com/office/spreadsheetml/2010/11/main" uri="{B97F6D7D-B522-45F9-BDA1-12C45D357490}">
          <x15:cacheHierarchy aggregatedColumn="24"/>
        </ext>
      </extLst>
    </cacheHierarchy>
    <cacheHierarchy uniqueName="[Measures].[Count of Visit_Date (Updated)]" caption="Count of Visit_Date (Updated)" measure="1" displayFolder="" measureGroup="Patient_Visits" count="0" hidden="1">
      <extLst>
        <ext xmlns:x15="http://schemas.microsoft.com/office/spreadsheetml/2010/11/main" uri="{B97F6D7D-B522-45F9-BDA1-12C45D357490}">
          <x15:cacheHierarchy aggregatedColumn="5"/>
        </ext>
      </extLst>
    </cacheHierarchy>
    <cacheHierarchy uniqueName="[Measures].[Count of Patient_ID]" caption="Count of Patient_ID" measure="1" displayFolder="" measureGroup="Patient_Visit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Bill_Amount_NGN]" caption="Sum of Bill_Amount_NGN" measure="1" displayFolder="" measureGroup="Patient_Visits" count="0" hidden="1">
      <extLst>
        <ext xmlns:x15="http://schemas.microsoft.com/office/spreadsheetml/2010/11/main" uri="{B97F6D7D-B522-45F9-BDA1-12C45D357490}">
          <x15:cacheHierarchy aggregatedColumn="20"/>
        </ext>
      </extLst>
    </cacheHierarchy>
    <cacheHierarchy uniqueName="[Measures].[Average of Bill_Amount_NGN]" caption="Average of Bill_Amount_NGN" measure="1" displayFolder="" measureGroup="Patient_Visits" count="0" hidden="1">
      <extLst>
        <ext xmlns:x15="http://schemas.microsoft.com/office/spreadsheetml/2010/11/main" uri="{B97F6D7D-B522-45F9-BDA1-12C45D357490}">
          <x15:cacheHierarchy aggregatedColumn="20"/>
        </ext>
      </extLst>
    </cacheHierarchy>
    <cacheHierarchy uniqueName="[Measures].[Sum of Total_Price_NGN (Updated)]" caption="Sum of Total_Price_NGN (Updated)" measure="1" displayFolder="" measureGroup="Pharmacy_Sales" count="0" hidden="1">
      <extLst>
        <ext xmlns:x15="http://schemas.microsoft.com/office/spreadsheetml/2010/11/main" uri="{B97F6D7D-B522-45F9-BDA1-12C45D357490}">
          <x15:cacheHierarchy aggregatedColumn="29"/>
        </ext>
      </extLst>
    </cacheHierarchy>
  </cacheHierarchies>
  <kpis count="0"/>
  <dimensions count="4">
    <dimension measure="1" name="Measures" uniqueName="[Measures]" caption="Measures"/>
    <dimension name="Patient_Visits" uniqueName="[Patient_Visits]" caption="Patient_Visits"/>
    <dimension name="Pharmacy_Sales" uniqueName="[Pharmacy_Sales]" caption="Pharmacy_Sales"/>
    <dimension name="Staff_Attendance" uniqueName="[Staff_Attendance]" caption="Staff_Attendance"/>
  </dimensions>
  <measureGroups count="3">
    <measureGroup name="Patient_Visits" caption="Patient_Visits"/>
    <measureGroup name="Pharmacy_Sales" caption="Pharmacy_Sales"/>
    <measureGroup name="Staff_Attendance" caption="Staff_Attendance"/>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5.564862037034" backgroundQuery="1" createdVersion="8" refreshedVersion="8" minRefreshableVersion="3" recordCount="0" supportSubquery="1" supportAdvancedDrill="1" xr:uid="{3EAF0DC4-5FF3-43CD-8BF2-6CD8F0318FA9}">
  <cacheSource type="external" connectionId="4"/>
  <cacheFields count="5">
    <cacheField name="[Measures].[Sum of Total_Price_NGN (Updated)]" caption="Sum of Total_Price_NGN (Updated)" numFmtId="0" hierarchy="56" level="32767"/>
    <cacheField name="[Pharmacy_Sales].[Expiry_Drug_Sold].[Expiry_Drug_Sold]" caption="Expiry_Drug_Sold" numFmtId="0" hierarchy="36" level="1">
      <sharedItems count="2">
        <s v="No"/>
        <s v="Yes"/>
      </sharedItems>
    </cacheField>
    <cacheField name="[Staff_Attendance].[Date].[Date]" caption="Date" numFmtId="0" hierarchy="41" level="1">
      <sharedItems containsSemiMixedTypes="0" containsNonDate="0" containsString="0"/>
    </cacheField>
    <cacheField name="[Patient_Visits].[Department].[Department]" caption="Department" numFmtId="0" hierarchy="8" level="1">
      <sharedItems containsSemiMixedTypes="0" containsNonDate="0" containsString="0"/>
    </cacheField>
    <cacheField name="[Patient_Visits].[State].[State]" caption="State" numFmtId="0" hierarchy="4" level="1">
      <sharedItems containsSemiMixedTypes="0" containsNonDate="0" containsString="0"/>
    </cacheField>
  </cacheFields>
  <cacheHierarchies count="57">
    <cacheHierarchy uniqueName="[Patient_Visits].[Patient_ID]" caption="Patient_ID" attribute="1" defaultMemberUniqueName="[Patient_Visits].[Patient_ID].[All]" allUniqueName="[Patient_Visits].[Patient_ID].[All]" dimensionUniqueName="[Patient_Visits]" displayFolder="" count="0" memberValueDatatype="130" unbalanced="0"/>
    <cacheHierarchy uniqueName="[Patient_Visits].[Patient_Name]" caption="Patient_Name" attribute="1" defaultMemberUniqueName="[Patient_Visits].[Patient_Name].[All]" allUniqueName="[Patient_Visits].[Patient_Name].[All]" dimensionUniqueName="[Patient_Visits]" displayFolder="" count="0" memberValueDatatype="130" unbalanced="0"/>
    <cacheHierarchy uniqueName="[Patient_Visits].[Age]" caption="Age" attribute="1" defaultMemberUniqueName="[Patient_Visits].[Age].[All]" allUniqueName="[Patient_Visits].[Age].[All]" dimensionUniqueName="[Patient_Visits]" displayFolder="" count="0" memberValueDatatype="20" unbalanced="0"/>
    <cacheHierarchy uniqueName="[Patient_Visits].[Gender]" caption="Gender" attribute="1" defaultMemberUniqueName="[Patient_Visits].[Gender].[All]" allUniqueName="[Patient_Visits].[Gender].[All]" dimensionUniqueName="[Patient_Visits]" displayFolder="" count="0" memberValueDatatype="130" unbalanced="0"/>
    <cacheHierarchy uniqueName="[Patient_Visits].[State]" caption="State" attribute="1" defaultMemberUniqueName="[Patient_Visits].[State].[All]" allUniqueName="[Patient_Visits].[State].[All]" dimensionUniqueName="[Patient_Visits]" displayFolder="" count="2" memberValueDatatype="130" unbalanced="0">
      <fieldsUsage count="2">
        <fieldUsage x="-1"/>
        <fieldUsage x="4"/>
      </fieldsUsage>
    </cacheHierarchy>
    <cacheHierarchy uniqueName="[Patient_Visits].[Visit_Date (Updated)]" caption="Visit_Date (Updated)" attribute="1" defaultMemberUniqueName="[Patient_Visits].[Visit_Date (Updated)].[All]" allUniqueName="[Patient_Visits].[Visit_Date (Updated)].[All]" dimensionUniqueName="[Patient_Visits]" displayFolder="" count="0" memberValueDatatype="130" unbalanced="0"/>
    <cacheHierarchy uniqueName="[Patient_Visits].[Column1]" caption="Column1" attribute="1" defaultMemberUniqueName="[Patient_Visits].[Column1].[All]" allUniqueName="[Patient_Visits].[Column1].[All]" dimensionUniqueName="[Patient_Visits]" displayFolder="" count="0" memberValueDatatype="130" unbalanced="0"/>
    <cacheHierarchy uniqueName="[Patient_Visits].[Month]" caption="Month" attribute="1" defaultMemberUniqueName="[Patient_Visits].[Month].[All]" allUniqueName="[Patient_Visits].[Month].[All]" dimensionUniqueName="[Patient_Visits]" displayFolder="" count="0" memberValueDatatype="130" unbalanced="0"/>
    <cacheHierarchy uniqueName="[Patient_Visits].[Department]" caption="Department" attribute="1" defaultMemberUniqueName="[Patient_Visits].[Department].[All]" allUniqueName="[Patient_Visits].[Department].[All]" dimensionUniqueName="[Patient_Visits]" displayFolder="" count="2" memberValueDatatype="130" unbalanced="0">
      <fieldsUsage count="2">
        <fieldUsage x="-1"/>
        <fieldUsage x="3"/>
      </fieldsUsage>
    </cacheHierarchy>
    <cacheHierarchy uniqueName="[Patient_Visits].[Doctor_Name]" caption="Doctor_Name" attribute="1" defaultMemberUniqueName="[Patient_Visits].[Doctor_Name].[All]" allUniqueName="[Patient_Visits].[Doctor_Name].[All]" dimensionUniqueName="[Patient_Visits]" displayFolder="" count="0" memberValueDatatype="130" unbalanced="0"/>
    <cacheHierarchy uniqueName="[Patient_Visits].[Diagnosis]" caption="Diagnosis" attribute="1" defaultMemberUniqueName="[Patient_Visits].[Diagnosis].[All]" allUniqueName="[Patient_Visits].[Diagnosis].[All]" dimensionUniqueName="[Patient_Visits]" displayFolder="" count="0" memberValueDatatype="130" unbalanced="0"/>
    <cacheHierarchy uniqueName="[Patient_Visits].[Visit_Type]" caption="Visit_Type" attribute="1" defaultMemberUniqueName="[Patient_Visits].[Visit_Type].[All]" allUniqueName="[Patient_Visits].[Visit_Type].[All]" dimensionUniqueName="[Patient_Visits]" displayFolder="" count="0" memberValueDatatype="130" unbalanced="0"/>
    <cacheHierarchy uniqueName="[Patient_Visits].[Blood_Pressure (Updated)]" caption="Blood_Pressure (Updated)" attribute="1" defaultMemberUniqueName="[Patient_Visits].[Blood_Pressure (Updated)].[All]" allUniqueName="[Patient_Visits].[Blood_Pressure (Updated)].[All]" dimensionUniqueName="[Patient_Visits]" displayFolder="" count="0" memberValueDatatype="130" unbalanced="0"/>
    <cacheHierarchy uniqueName="[Patient_Visits].[Heart_Rate_bpm]" caption="Heart_Rate_bpm" attribute="1" defaultMemberUniqueName="[Patient_Visits].[Heart_Rate_bpm].[All]" allUniqueName="[Patient_Visits].[Heart_Rate_bpm].[All]" dimensionUniqueName="[Patient_Visits]" displayFolder="" count="0" memberValueDatatype="20" unbalanced="0"/>
    <cacheHierarchy uniqueName="[Patient_Visits].[Body_Temp (Celsius)]" caption="Body_Temp (Celsius)" attribute="1" defaultMemberUniqueName="[Patient_Visits].[Body_Temp (Celsius)].[All]" allUniqueName="[Patient_Visits].[Body_Temp (Celsius)].[All]" dimensionUniqueName="[Patient_Visits]" displayFolder="" count="0" memberValueDatatype="5" unbalanced="0"/>
    <cacheHierarchy uniqueName="[Patient_Visits].[Body_Temp_C]" caption="Body_Temp_C" attribute="1" defaultMemberUniqueName="[Patient_Visits].[Body_Temp_C].[All]" allUniqueName="[Patient_Visits].[Body_Temp_C].[All]" dimensionUniqueName="[Patient_Visits]" displayFolder="" count="0" memberValueDatatype="5" unbalanced="0"/>
    <cacheHierarchy uniqueName="[Patient_Visits].[Weight_kg]" caption="Weight_kg" attribute="1" defaultMemberUniqueName="[Patient_Visits].[Weight_kg].[All]" allUniqueName="[Patient_Visits].[Weight_kg].[All]" dimensionUniqueName="[Patient_Visits]" displayFolder="" count="0" memberValueDatatype="5" unbalanced="0"/>
    <cacheHierarchy uniqueName="[Patient_Visits].[Height_cm]" caption="Height_cm" attribute="1" defaultMemberUniqueName="[Patient_Visits].[Height_cm].[All]" allUniqueName="[Patient_Visits].[Height_cm].[All]" dimensionUniqueName="[Patient_Visits]" displayFolder="" count="0" memberValueDatatype="20" unbalanced="0"/>
    <cacheHierarchy uniqueName="[Patient_Visits].[BMI]" caption="BMI" attribute="1" defaultMemberUniqueName="[Patient_Visits].[BMI].[All]" allUniqueName="[Patient_Visits].[BMI].[All]" dimensionUniqueName="[Patient_Visits]" displayFolder="" count="0" memberValueDatatype="5" unbalanced="0"/>
    <cacheHierarchy uniqueName="[Patient_Visits].[Payment_Method]" caption="Payment_Method" attribute="1" defaultMemberUniqueName="[Patient_Visits].[Payment_Method].[All]" allUniqueName="[Patient_Visits].[Payment_Method].[All]" dimensionUniqueName="[Patient_Visits]" displayFolder="" count="0" memberValueDatatype="130" unbalanced="0"/>
    <cacheHierarchy uniqueName="[Patient_Visits].[Bill_Amount_NGN]" caption="Bill_Amount_NGN" attribute="1" defaultMemberUniqueName="[Patient_Visits].[Bill_Amount_NGN].[All]" allUniqueName="[Patient_Visits].[Bill_Amount_NGN].[All]" dimensionUniqueName="[Patient_Visits]" displayFolder="" count="0" memberValueDatatype="20" unbalanced="0"/>
    <cacheHierarchy uniqueName="[Patient_Visits].[Payment_Status (Updated)]" caption="Payment_Status (Updated)" attribute="1" defaultMemberUniqueName="[Patient_Visits].[Payment_Status (Updated)].[All]" allUniqueName="[Patient_Visits].[Payment_Status (Updated)].[All]" dimensionUniqueName="[Patient_Visits]" displayFolder="" count="0" memberValueDatatype="130" unbalanced="0"/>
    <cacheHierarchy uniqueName="[Patient_Visits].[Follow_Up_Needed]" caption="Follow_Up_Needed" attribute="1" defaultMemberUniqueName="[Patient_Visits].[Follow_Up_Needed].[All]" allUniqueName="[Patient_Visits].[Follow_Up_Needed].[All]" dimensionUniqueName="[Patient_Visits]" displayFolder="" count="0" memberValueDatatype="130" unbalanced="0"/>
    <cacheHierarchy uniqueName="[Pharmacy_Sales].[Sale_ID]" caption="Sale_ID" attribute="1" defaultMemberUniqueName="[Pharmacy_Sales].[Sale_ID].[All]" allUniqueName="[Pharmacy_Sales].[Sale_ID].[All]" dimensionUniqueName="[Pharmacy_Sales]" displayFolder="" count="0" memberValueDatatype="130" unbalanced="0"/>
    <cacheHierarchy uniqueName="[Pharmacy_Sales].[Patient_ID]" caption="Patient_ID" attribute="1" defaultMemberUniqueName="[Pharmacy_Sales].[Patient_ID].[All]" allUniqueName="[Pharmacy_Sales].[Patient_ID].[All]" dimensionUniqueName="[Pharmacy_Sales]" displayFolder="" count="0" memberValueDatatype="130" unbalanced="0"/>
    <cacheHierarchy uniqueName="[Pharmacy_Sales].[Sale_Date (Updated)]" caption="Sale_Date (Updated)" attribute="1" time="1" defaultMemberUniqueName="[Pharmacy_Sales].[Sale_Date (Updated)].[All]" allUniqueName="[Pharmacy_Sales].[Sale_Date (Updated)].[All]" dimensionUniqueName="[Pharmacy_Sales]" displayFolder="" count="0" memberValueDatatype="7" unbalanced="0"/>
    <cacheHierarchy uniqueName="[Pharmacy_Sales].[Drug_Name]" caption="Drug_Name" attribute="1" defaultMemberUniqueName="[Pharmacy_Sales].[Drug_Name].[All]" allUniqueName="[Pharmacy_Sales].[Drug_Name].[All]" dimensionUniqueName="[Pharmacy_Sales]" displayFolder="" count="0" memberValueDatatype="130" unbalanced="0"/>
    <cacheHierarchy uniqueName="[Pharmacy_Sales].[Quantity_Sold]" caption="Quantity_Sold" attribute="1" defaultMemberUniqueName="[Pharmacy_Sales].[Quantity_Sold].[All]" allUniqueName="[Pharmacy_Sales].[Quantity_Sold].[All]" dimensionUniqueName="[Pharmacy_Sales]" displayFolder="" count="0" memberValueDatatype="20" unbalanced="0"/>
    <cacheHierarchy uniqueName="[Pharmacy_Sales].[Unit_Price_NGN]" caption="Unit_Price_NGN" attribute="1" defaultMemberUniqueName="[Pharmacy_Sales].[Unit_Price_NGN].[All]" allUniqueName="[Pharmacy_Sales].[Unit_Price_NGN].[All]" dimensionUniqueName="[Pharmacy_Sales]" displayFolder="" count="0" memberValueDatatype="20" unbalanced="0"/>
    <cacheHierarchy uniqueName="[Pharmacy_Sales].[Total_Price_NGN (Updated)]" caption="Total_Price_NGN (Updated)" attribute="1" defaultMemberUniqueName="[Pharmacy_Sales].[Total_Price_NGN (Updated)].[All]" allUniqueName="[Pharmacy_Sales].[Total_Price_NGN (Updated)].[All]" dimensionUniqueName="[Pharmacy_Sales]" displayFolder="" count="0" memberValueDatatype="20" unbalanced="0"/>
    <cacheHierarchy uniqueName="[Pharmacy_Sales].[Pharmacist]" caption="Pharmacist" attribute="1" defaultMemberUniqueName="[Pharmacy_Sales].[Pharmacist].[All]" allUniqueName="[Pharmacy_Sales].[Pharmacist].[All]" dimensionUniqueName="[Pharmacy_Sales]" displayFolder="" count="0" memberValueDatatype="130" unbalanced="0"/>
    <cacheHierarchy uniqueName="[Pharmacy_Sales].[Prescription_Required]" caption="Prescription_Required" attribute="1" defaultMemberUniqueName="[Pharmacy_Sales].[Prescription_Required].[All]" allUniqueName="[Pharmacy_Sales].[Prescription_Required].[All]" dimensionUniqueName="[Pharmacy_Sales]" displayFolder="" count="0" memberValueDatatype="130" unbalanced="0"/>
    <cacheHierarchy uniqueName="[Pharmacy_Sales].[Prescription_Provided]" caption="Prescription_Provided" attribute="1" defaultMemberUniqueName="[Pharmacy_Sales].[Prescription_Provided].[All]" allUniqueName="[Pharmacy_Sales].[Prescription_Provided].[All]" dimensionUniqueName="[Pharmacy_Sales]" displayFolder="" count="0" memberValueDatatype="130" unbalanced="0"/>
    <cacheHierarchy uniqueName="[Pharmacy_Sales].[Prescription_Compliance]" caption="Prescription_Compliance" attribute="1" defaultMemberUniqueName="[Pharmacy_Sales].[Prescription_Compliance].[All]" allUniqueName="[Pharmacy_Sales].[Prescription_Compliance].[All]" dimensionUniqueName="[Pharmacy_Sales]" displayFolder="" count="0" memberValueDatatype="130" unbalanced="0"/>
    <cacheHierarchy uniqueName="[Pharmacy_Sales].[Stock_After_Sale]" caption="Stock_After_Sale" attribute="1" defaultMemberUniqueName="[Pharmacy_Sales].[Stock_After_Sale].[All]" allUniqueName="[Pharmacy_Sales].[Stock_After_Sale].[All]" dimensionUniqueName="[Pharmacy_Sales]" displayFolder="" count="0" memberValueDatatype="20" unbalanced="0"/>
    <cacheHierarchy uniqueName="[Pharmacy_Sales].[Expiry_Date]" caption="Expiry_Date" attribute="1" time="1" defaultMemberUniqueName="[Pharmacy_Sales].[Expiry_Date].[All]" allUniqueName="[Pharmacy_Sales].[Expiry_Date].[All]" dimensionUniqueName="[Pharmacy_Sales]" displayFolder="" count="0" memberValueDatatype="7" unbalanced="0"/>
    <cacheHierarchy uniqueName="[Pharmacy_Sales].[Expiry_Drug_Sold]" caption="Expiry_Drug_Sold" attribute="1" defaultMemberUniqueName="[Pharmacy_Sales].[Expiry_Drug_Sold].[All]" allUniqueName="[Pharmacy_Sales].[Expiry_Drug_Sold].[All]" dimensionUniqueName="[Pharmacy_Sales]" displayFolder="" count="2" memberValueDatatype="130" unbalanced="0">
      <fieldsUsage count="2">
        <fieldUsage x="-1"/>
        <fieldUsage x="1"/>
      </fieldsUsage>
    </cacheHierarchy>
    <cacheHierarchy uniqueName="[Staff_Attendance].[Record_ID]" caption="Record_ID" attribute="1" defaultMemberUniqueName="[Staff_Attendance].[Record_ID].[All]" allUniqueName="[Staff_Attendance].[Record_ID].[All]" dimensionUniqueName="[Staff_Attendance]" displayFolder="" count="0" memberValueDatatype="130" unbalanced="0"/>
    <cacheHierarchy uniqueName="[Staff_Attendance].[Staff_Name]" caption="Staff_Name" attribute="1" defaultMemberUniqueName="[Staff_Attendance].[Staff_Name].[All]" allUniqueName="[Staff_Attendance].[Staff_Name].[All]" dimensionUniqueName="[Staff_Attendance]" displayFolder="" count="0" memberValueDatatype="130" unbalanced="0"/>
    <cacheHierarchy uniqueName="[Staff_Attendance].[Staff_Role]" caption="Staff_Role" attribute="1" defaultMemberUniqueName="[Staff_Attendance].[Staff_Role].[All]" allUniqueName="[Staff_Attendance].[Staff_Role].[All]" dimensionUniqueName="[Staff_Attendance]" displayFolder="" count="0" memberValueDatatype="130" unbalanced="0"/>
    <cacheHierarchy uniqueName="[Staff_Attendance].[Department]" caption="Department" attribute="1" defaultMemberUniqueName="[Staff_Attendance].[Department].[All]" allUniqueName="[Staff_Attendance].[Department].[All]" dimensionUniqueName="[Staff_Attendance]" displayFolder="" count="0" memberValueDatatype="130" unbalanced="0"/>
    <cacheHierarchy uniqueName="[Staff_Attendance].[Date]" caption="Date" attribute="1" time="1" defaultMemberUniqueName="[Staff_Attendance].[Date].[All]" allUniqueName="[Staff_Attendance].[Date].[All]" dimensionUniqueName="[Staff_Attendance]" displayFolder="" count="2" memberValueDatatype="7" unbalanced="0">
      <fieldsUsage count="2">
        <fieldUsage x="-1"/>
        <fieldUsage x="2"/>
      </fieldsUsage>
    </cacheHierarchy>
    <cacheHierarchy uniqueName="[Staff_Attendance].[Clock_In (Updated)]" caption="Clock_In (Updated)" attribute="1" time="1" defaultMemberUniqueName="[Staff_Attendance].[Clock_In (Updated)].[All]" allUniqueName="[Staff_Attendance].[Clock_In (Updated)].[All]" dimensionUniqueName="[Staff_Attendance]" displayFolder="" count="0" memberValueDatatype="7" unbalanced="0"/>
    <cacheHierarchy uniqueName="[Staff_Attendance].[Clock_Out (Updated)]" caption="Clock_Out (Updated)" attribute="1" time="1" defaultMemberUniqueName="[Staff_Attendance].[Clock_Out (Updated)].[All]" allUniqueName="[Staff_Attendance].[Clock_Out (Updated)].[All]" dimensionUniqueName="[Staff_Attendance]" displayFolder="" count="0" memberValueDatatype="7" unbalanced="0"/>
    <cacheHierarchy uniqueName="[Staff_Attendance].[Hours_Worked (Updated)]" caption="Hours_Worked (Updated)" attribute="1" defaultMemberUniqueName="[Staff_Attendance].[Hours_Worked (Updated)].[All]" allUniqueName="[Staff_Attendance].[Hours_Worked (Updated)].[All]" dimensionUniqueName="[Staff_Attendance]" displayFolder="" count="0" memberValueDatatype="20" unbalanced="0"/>
    <cacheHierarchy uniqueName="[Staff_Attendance].[Shift_Type (Updated)]" caption="Shift_Type (Updated)" attribute="1" defaultMemberUniqueName="[Staff_Attendance].[Shift_Type (Updated)].[All]" allUniqueName="[Staff_Attendance].[Shift_Type (Updated)].[All]" dimensionUniqueName="[Staff_Attendance]" displayFolder="" count="0" memberValueDatatype="130" unbalanced="0"/>
    <cacheHierarchy uniqueName="[Staff_Attendance].[Attendance_Status (Updated)]" caption="Attendance_Status (Updated)" attribute="1" defaultMemberUniqueName="[Staff_Attendance].[Attendance_Status (Updated)].[All]" allUniqueName="[Staff_Attendance].[Attendance_Status (Updated)].[All]" dimensionUniqueName="[Staff_Attendance]" displayFolder="" count="0" memberValueDatatype="130" unbalanced="0"/>
    <cacheHierarchy uniqueName="[Measures].[__XL_Count Pharmacy_Sales]" caption="__XL_Count Pharmacy_Sales" measure="1" displayFolder="" measureGroup="Pharmacy_Sales" count="0" hidden="1"/>
    <cacheHierarchy uniqueName="[Measures].[__XL_Count Patient_Visits]" caption="__XL_Count Patient_Visits" measure="1" displayFolder="" measureGroup="Patient_Visits" count="0" hidden="1"/>
    <cacheHierarchy uniqueName="[Measures].[__XL_Count Staff_Attendance]" caption="__XL_Count Staff_Attendance" measure="1" displayFolder="" measureGroup="Staff_Attendance" count="0" hidden="1"/>
    <cacheHierarchy uniqueName="[Measures].[__No measures defined]" caption="__No measures defined" measure="1" displayFolder="" count="0" hidden="1"/>
    <cacheHierarchy uniqueName="[Measures].[Count of Patient_ID 2]" caption="Count of Patient_ID 2" measure="1" displayFolder="" measureGroup="Pharmacy_Sales" count="0" hidden="1">
      <extLst>
        <ext xmlns:x15="http://schemas.microsoft.com/office/spreadsheetml/2010/11/main" uri="{B97F6D7D-B522-45F9-BDA1-12C45D357490}">
          <x15:cacheHierarchy aggregatedColumn="24"/>
        </ext>
      </extLst>
    </cacheHierarchy>
    <cacheHierarchy uniqueName="[Measures].[Count of Visit_Date (Updated)]" caption="Count of Visit_Date (Updated)" measure="1" displayFolder="" measureGroup="Patient_Visits" count="0" hidden="1">
      <extLst>
        <ext xmlns:x15="http://schemas.microsoft.com/office/spreadsheetml/2010/11/main" uri="{B97F6D7D-B522-45F9-BDA1-12C45D357490}">
          <x15:cacheHierarchy aggregatedColumn="5"/>
        </ext>
      </extLst>
    </cacheHierarchy>
    <cacheHierarchy uniqueName="[Measures].[Count of Patient_ID]" caption="Count of Patient_ID" measure="1" displayFolder="" measureGroup="Patient_Visits" count="0" hidden="1">
      <extLst>
        <ext xmlns:x15="http://schemas.microsoft.com/office/spreadsheetml/2010/11/main" uri="{B97F6D7D-B522-45F9-BDA1-12C45D357490}">
          <x15:cacheHierarchy aggregatedColumn="0"/>
        </ext>
      </extLst>
    </cacheHierarchy>
    <cacheHierarchy uniqueName="[Measures].[Sum of Bill_Amount_NGN]" caption="Sum of Bill_Amount_NGN" measure="1" displayFolder="" measureGroup="Patient_Visits" count="0" hidden="1">
      <extLst>
        <ext xmlns:x15="http://schemas.microsoft.com/office/spreadsheetml/2010/11/main" uri="{B97F6D7D-B522-45F9-BDA1-12C45D357490}">
          <x15:cacheHierarchy aggregatedColumn="20"/>
        </ext>
      </extLst>
    </cacheHierarchy>
    <cacheHierarchy uniqueName="[Measures].[Average of Bill_Amount_NGN]" caption="Average of Bill_Amount_NGN" measure="1" displayFolder="" measureGroup="Patient_Visits" count="0" hidden="1">
      <extLst>
        <ext xmlns:x15="http://schemas.microsoft.com/office/spreadsheetml/2010/11/main" uri="{B97F6D7D-B522-45F9-BDA1-12C45D357490}">
          <x15:cacheHierarchy aggregatedColumn="20"/>
        </ext>
      </extLst>
    </cacheHierarchy>
    <cacheHierarchy uniqueName="[Measures].[Sum of Total_Price_NGN (Updated)]" caption="Sum of Total_Price_NGN (Updated)" measure="1" displayFolder="" measureGroup="Pharmacy_Sales" count="0" oneField="1" hidden="1">
      <fieldsUsage count="1">
        <fieldUsage x="0"/>
      </fieldsUsage>
      <extLst>
        <ext xmlns:x15="http://schemas.microsoft.com/office/spreadsheetml/2010/11/main" uri="{B97F6D7D-B522-45F9-BDA1-12C45D357490}">
          <x15:cacheHierarchy aggregatedColumn="29"/>
        </ext>
      </extLst>
    </cacheHierarchy>
  </cacheHierarchies>
  <kpis count="0"/>
  <dimensions count="4">
    <dimension measure="1" name="Measures" uniqueName="[Measures]" caption="Measures"/>
    <dimension name="Patient_Visits" uniqueName="[Patient_Visits]" caption="Patient_Visits"/>
    <dimension name="Pharmacy_Sales" uniqueName="[Pharmacy_Sales]" caption="Pharmacy_Sales"/>
    <dimension name="Staff_Attendance" uniqueName="[Staff_Attendance]" caption="Staff_Attendance"/>
  </dimensions>
  <measureGroups count="3">
    <measureGroup name="Patient_Visits" caption="Patient_Visits"/>
    <measureGroup name="Pharmacy_Sales" caption="Pharmacy_Sales"/>
    <measureGroup name="Staff_Attendance" caption="Staff_Attendance"/>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5.566118634262" backgroundQuery="1" createdVersion="8" refreshedVersion="8" minRefreshableVersion="3" recordCount="0" supportSubquery="1" supportAdvancedDrill="1" xr:uid="{8E838932-E90D-4EBC-88DD-6C8773E9F5DD}">
  <cacheSource type="external" connectionId="4"/>
  <cacheFields count="3">
    <cacheField name="[Patient_Visits].[Department].[Department]" caption="Department" numFmtId="0" hierarchy="8" level="1">
      <sharedItems count="6">
        <s v="Cardiology"/>
        <s v="Dental"/>
        <s v="Diabetes Clinic"/>
        <s v="Eye Clinic"/>
        <s v="General OPD"/>
        <s v="Pediatrics"/>
      </sharedItems>
    </cacheField>
    <cacheField name="[Measures].[Count of Patient_ID]" caption="Count of Patient_ID" numFmtId="0" hierarchy="53" level="32767"/>
    <cacheField name="[Staff_Attendance].[Date].[Date]" caption="Date" numFmtId="0" hierarchy="41" level="1">
      <sharedItems containsSemiMixedTypes="0" containsNonDate="0" containsString="0"/>
    </cacheField>
  </cacheFields>
  <cacheHierarchies count="57">
    <cacheHierarchy uniqueName="[Patient_Visits].[Patient_ID]" caption="Patient_ID" attribute="1" defaultMemberUniqueName="[Patient_Visits].[Patient_ID].[All]" allUniqueName="[Patient_Visits].[Patient_ID].[All]" dimensionUniqueName="[Patient_Visits]" displayFolder="" count="2" memberValueDatatype="130" unbalanced="0"/>
    <cacheHierarchy uniqueName="[Patient_Visits].[Patient_Name]" caption="Patient_Name" attribute="1" defaultMemberUniqueName="[Patient_Visits].[Patient_Name].[All]" allUniqueName="[Patient_Visits].[Patient_Name].[All]" dimensionUniqueName="[Patient_Visits]" displayFolder="" count="2" memberValueDatatype="130" unbalanced="0"/>
    <cacheHierarchy uniqueName="[Patient_Visits].[Age]" caption="Age" attribute="1" defaultMemberUniqueName="[Patient_Visits].[Age].[All]" allUniqueName="[Patient_Visits].[Age].[All]" dimensionUniqueName="[Patient_Visits]" displayFolder="" count="2" memberValueDatatype="20" unbalanced="0"/>
    <cacheHierarchy uniqueName="[Patient_Visits].[Gender]" caption="Gender" attribute="1" defaultMemberUniqueName="[Patient_Visits].[Gender].[All]" allUniqueName="[Patient_Visits].[Gender].[All]" dimensionUniqueName="[Patient_Visits]" displayFolder="" count="2" memberValueDatatype="130" unbalanced="0"/>
    <cacheHierarchy uniqueName="[Patient_Visits].[State]" caption="State" attribute="1" defaultMemberUniqueName="[Patient_Visits].[State].[All]" allUniqueName="[Patient_Visits].[State].[All]" dimensionUniqueName="[Patient_Visits]" displayFolder="" count="2" memberValueDatatype="130" unbalanced="0"/>
    <cacheHierarchy uniqueName="[Patient_Visits].[Visit_Date (Updated)]" caption="Visit_Date (Updated)" attribute="1" defaultMemberUniqueName="[Patient_Visits].[Visit_Date (Updated)].[All]" allUniqueName="[Patient_Visits].[Visit_Date (Updated)].[All]" dimensionUniqueName="[Patient_Visits]" displayFolder="" count="2" memberValueDatatype="130" unbalanced="0"/>
    <cacheHierarchy uniqueName="[Patient_Visits].[Column1]" caption="Column1" attribute="1" defaultMemberUniqueName="[Patient_Visits].[Column1].[All]" allUniqueName="[Patient_Visits].[Column1].[All]" dimensionUniqueName="[Patient_Visits]" displayFolder="" count="2" memberValueDatatype="130" unbalanced="0"/>
    <cacheHierarchy uniqueName="[Patient_Visits].[Month]" caption="Month" attribute="1" defaultMemberUniqueName="[Patient_Visits].[Month].[All]" allUniqueName="[Patient_Visits].[Month].[All]" dimensionUniqueName="[Patient_Visits]" displayFolder="" count="2" memberValueDatatype="130" unbalanced="0"/>
    <cacheHierarchy uniqueName="[Patient_Visits].[Department]" caption="Department" attribute="1" defaultMemberUniqueName="[Patient_Visits].[Department].[All]" allUniqueName="[Patient_Visits].[Department].[All]" dimensionUniqueName="[Patient_Visits]" displayFolder="" count="2" memberValueDatatype="130" unbalanced="0">
      <fieldsUsage count="2">
        <fieldUsage x="-1"/>
        <fieldUsage x="0"/>
      </fieldsUsage>
    </cacheHierarchy>
    <cacheHierarchy uniqueName="[Patient_Visits].[Doctor_Name]" caption="Doctor_Name" attribute="1" defaultMemberUniqueName="[Patient_Visits].[Doctor_Name].[All]" allUniqueName="[Patient_Visits].[Doctor_Name].[All]" dimensionUniqueName="[Patient_Visits]" displayFolder="" count="2" memberValueDatatype="130" unbalanced="0"/>
    <cacheHierarchy uniqueName="[Patient_Visits].[Diagnosis]" caption="Diagnosis" attribute="1" defaultMemberUniqueName="[Patient_Visits].[Diagnosis].[All]" allUniqueName="[Patient_Visits].[Diagnosis].[All]" dimensionUniqueName="[Patient_Visits]" displayFolder="" count="2" memberValueDatatype="130" unbalanced="0"/>
    <cacheHierarchy uniqueName="[Patient_Visits].[Visit_Type]" caption="Visit_Type" attribute="1" defaultMemberUniqueName="[Patient_Visits].[Visit_Type].[All]" allUniqueName="[Patient_Visits].[Visit_Type].[All]" dimensionUniqueName="[Patient_Visits]" displayFolder="" count="2" memberValueDatatype="130" unbalanced="0"/>
    <cacheHierarchy uniqueName="[Patient_Visits].[Blood_Pressure (Updated)]" caption="Blood_Pressure (Updated)" attribute="1" defaultMemberUniqueName="[Patient_Visits].[Blood_Pressure (Updated)].[All]" allUniqueName="[Patient_Visits].[Blood_Pressure (Updated)].[All]" dimensionUniqueName="[Patient_Visits]" displayFolder="" count="2" memberValueDatatype="130" unbalanced="0"/>
    <cacheHierarchy uniqueName="[Patient_Visits].[Heart_Rate_bpm]" caption="Heart_Rate_bpm" attribute="1" defaultMemberUniqueName="[Patient_Visits].[Heart_Rate_bpm].[All]" allUniqueName="[Patient_Visits].[Heart_Rate_bpm].[All]" dimensionUniqueName="[Patient_Visits]" displayFolder="" count="2" memberValueDatatype="20" unbalanced="0"/>
    <cacheHierarchy uniqueName="[Patient_Visits].[Body_Temp (Celsius)]" caption="Body_Temp (Celsius)" attribute="1" defaultMemberUniqueName="[Patient_Visits].[Body_Temp (Celsius)].[All]" allUniqueName="[Patient_Visits].[Body_Temp (Celsius)].[All]" dimensionUniqueName="[Patient_Visits]" displayFolder="" count="2" memberValueDatatype="5" unbalanced="0"/>
    <cacheHierarchy uniqueName="[Patient_Visits].[Body_Temp_C]" caption="Body_Temp_C" attribute="1" defaultMemberUniqueName="[Patient_Visits].[Body_Temp_C].[All]" allUniqueName="[Patient_Visits].[Body_Temp_C].[All]" dimensionUniqueName="[Patient_Visits]" displayFolder="" count="2" memberValueDatatype="5" unbalanced="0"/>
    <cacheHierarchy uniqueName="[Patient_Visits].[Weight_kg]" caption="Weight_kg" attribute="1" defaultMemberUniqueName="[Patient_Visits].[Weight_kg].[All]" allUniqueName="[Patient_Visits].[Weight_kg].[All]" dimensionUniqueName="[Patient_Visits]" displayFolder="" count="2" memberValueDatatype="5" unbalanced="0"/>
    <cacheHierarchy uniqueName="[Patient_Visits].[Height_cm]" caption="Height_cm" attribute="1" defaultMemberUniqueName="[Patient_Visits].[Height_cm].[All]" allUniqueName="[Patient_Visits].[Height_cm].[All]" dimensionUniqueName="[Patient_Visits]" displayFolder="" count="2" memberValueDatatype="20" unbalanced="0"/>
    <cacheHierarchy uniqueName="[Patient_Visits].[BMI]" caption="BMI" attribute="1" defaultMemberUniqueName="[Patient_Visits].[BMI].[All]" allUniqueName="[Patient_Visits].[BMI].[All]" dimensionUniqueName="[Patient_Visits]" displayFolder="" count="2" memberValueDatatype="5" unbalanced="0"/>
    <cacheHierarchy uniqueName="[Patient_Visits].[Payment_Method]" caption="Payment_Method" attribute="1" defaultMemberUniqueName="[Patient_Visits].[Payment_Method].[All]" allUniqueName="[Patient_Visits].[Payment_Method].[All]" dimensionUniqueName="[Patient_Visits]" displayFolder="" count="2" memberValueDatatype="130" unbalanced="0"/>
    <cacheHierarchy uniqueName="[Patient_Visits].[Bill_Amount_NGN]" caption="Bill_Amount_NGN" attribute="1" defaultMemberUniqueName="[Patient_Visits].[Bill_Amount_NGN].[All]" allUniqueName="[Patient_Visits].[Bill_Amount_NGN].[All]" dimensionUniqueName="[Patient_Visits]" displayFolder="" count="2" memberValueDatatype="20" unbalanced="0"/>
    <cacheHierarchy uniqueName="[Patient_Visits].[Payment_Status (Updated)]" caption="Payment_Status (Updated)" attribute="1" defaultMemberUniqueName="[Patient_Visits].[Payment_Status (Updated)].[All]" allUniqueName="[Patient_Visits].[Payment_Status (Updated)].[All]" dimensionUniqueName="[Patient_Visits]" displayFolder="" count="2" memberValueDatatype="130" unbalanced="0"/>
    <cacheHierarchy uniqueName="[Patient_Visits].[Follow_Up_Needed]" caption="Follow_Up_Needed" attribute="1" defaultMemberUniqueName="[Patient_Visits].[Follow_Up_Needed].[All]" allUniqueName="[Patient_Visits].[Follow_Up_Needed].[All]" dimensionUniqueName="[Patient_Visits]" displayFolder="" count="2" memberValueDatatype="130" unbalanced="0"/>
    <cacheHierarchy uniqueName="[Pharmacy_Sales].[Sale_ID]" caption="Sale_ID" attribute="1" defaultMemberUniqueName="[Pharmacy_Sales].[Sale_ID].[All]" allUniqueName="[Pharmacy_Sales].[Sale_ID].[All]" dimensionUniqueName="[Pharmacy_Sales]" displayFolder="" count="2" memberValueDatatype="130" unbalanced="0"/>
    <cacheHierarchy uniqueName="[Pharmacy_Sales].[Patient_ID]" caption="Patient_ID" attribute="1" defaultMemberUniqueName="[Pharmacy_Sales].[Patient_ID].[All]" allUniqueName="[Pharmacy_Sales].[Patient_ID].[All]" dimensionUniqueName="[Pharmacy_Sales]" displayFolder="" count="2" memberValueDatatype="130" unbalanced="0"/>
    <cacheHierarchy uniqueName="[Pharmacy_Sales].[Sale_Date (Updated)]" caption="Sale_Date (Updated)" attribute="1" time="1" defaultMemberUniqueName="[Pharmacy_Sales].[Sale_Date (Updated)].[All]" allUniqueName="[Pharmacy_Sales].[Sale_Date (Updated)].[All]" dimensionUniqueName="[Pharmacy_Sales]" displayFolder="" count="2" memberValueDatatype="7" unbalanced="0"/>
    <cacheHierarchy uniqueName="[Pharmacy_Sales].[Drug_Name]" caption="Drug_Name" attribute="1" defaultMemberUniqueName="[Pharmacy_Sales].[Drug_Name].[All]" allUniqueName="[Pharmacy_Sales].[Drug_Name].[All]" dimensionUniqueName="[Pharmacy_Sales]" displayFolder="" count="2" memberValueDatatype="130" unbalanced="0"/>
    <cacheHierarchy uniqueName="[Pharmacy_Sales].[Quantity_Sold]" caption="Quantity_Sold" attribute="1" defaultMemberUniqueName="[Pharmacy_Sales].[Quantity_Sold].[All]" allUniqueName="[Pharmacy_Sales].[Quantity_Sold].[All]" dimensionUniqueName="[Pharmacy_Sales]" displayFolder="" count="2" memberValueDatatype="20" unbalanced="0"/>
    <cacheHierarchy uniqueName="[Pharmacy_Sales].[Unit_Price_NGN]" caption="Unit_Price_NGN" attribute="1" defaultMemberUniqueName="[Pharmacy_Sales].[Unit_Price_NGN].[All]" allUniqueName="[Pharmacy_Sales].[Unit_Price_NGN].[All]" dimensionUniqueName="[Pharmacy_Sales]" displayFolder="" count="2" memberValueDatatype="20" unbalanced="0"/>
    <cacheHierarchy uniqueName="[Pharmacy_Sales].[Total_Price_NGN (Updated)]" caption="Total_Price_NGN (Updated)" attribute="1" defaultMemberUniqueName="[Pharmacy_Sales].[Total_Price_NGN (Updated)].[All]" allUniqueName="[Pharmacy_Sales].[Total_Price_NGN (Updated)].[All]" dimensionUniqueName="[Pharmacy_Sales]" displayFolder="" count="2" memberValueDatatype="20" unbalanced="0"/>
    <cacheHierarchy uniqueName="[Pharmacy_Sales].[Pharmacist]" caption="Pharmacist" attribute="1" defaultMemberUniqueName="[Pharmacy_Sales].[Pharmacist].[All]" allUniqueName="[Pharmacy_Sales].[Pharmacist].[All]" dimensionUniqueName="[Pharmacy_Sales]" displayFolder="" count="2" memberValueDatatype="130" unbalanced="0"/>
    <cacheHierarchy uniqueName="[Pharmacy_Sales].[Prescription_Required]" caption="Prescription_Required" attribute="1" defaultMemberUniqueName="[Pharmacy_Sales].[Prescription_Required].[All]" allUniqueName="[Pharmacy_Sales].[Prescription_Required].[All]" dimensionUniqueName="[Pharmacy_Sales]" displayFolder="" count="2" memberValueDatatype="130" unbalanced="0"/>
    <cacheHierarchy uniqueName="[Pharmacy_Sales].[Prescription_Provided]" caption="Prescription_Provided" attribute="1" defaultMemberUniqueName="[Pharmacy_Sales].[Prescription_Provided].[All]" allUniqueName="[Pharmacy_Sales].[Prescription_Provided].[All]" dimensionUniqueName="[Pharmacy_Sales]" displayFolder="" count="2" memberValueDatatype="130" unbalanced="0"/>
    <cacheHierarchy uniqueName="[Pharmacy_Sales].[Prescription_Compliance]" caption="Prescription_Compliance" attribute="1" defaultMemberUniqueName="[Pharmacy_Sales].[Prescription_Compliance].[All]" allUniqueName="[Pharmacy_Sales].[Prescription_Compliance].[All]" dimensionUniqueName="[Pharmacy_Sales]" displayFolder="" count="2" memberValueDatatype="130" unbalanced="0"/>
    <cacheHierarchy uniqueName="[Pharmacy_Sales].[Stock_After_Sale]" caption="Stock_After_Sale" attribute="1" defaultMemberUniqueName="[Pharmacy_Sales].[Stock_After_Sale].[All]" allUniqueName="[Pharmacy_Sales].[Stock_After_Sale].[All]" dimensionUniqueName="[Pharmacy_Sales]" displayFolder="" count="2" memberValueDatatype="20" unbalanced="0"/>
    <cacheHierarchy uniqueName="[Pharmacy_Sales].[Expiry_Date]" caption="Expiry_Date" attribute="1" time="1" defaultMemberUniqueName="[Pharmacy_Sales].[Expiry_Date].[All]" allUniqueName="[Pharmacy_Sales].[Expiry_Date].[All]" dimensionUniqueName="[Pharmacy_Sales]" displayFolder="" count="2" memberValueDatatype="7" unbalanced="0"/>
    <cacheHierarchy uniqueName="[Pharmacy_Sales].[Expiry_Drug_Sold]" caption="Expiry_Drug_Sold" attribute="1" defaultMemberUniqueName="[Pharmacy_Sales].[Expiry_Drug_Sold].[All]" allUniqueName="[Pharmacy_Sales].[Expiry_Drug_Sold].[All]" dimensionUniqueName="[Pharmacy_Sales]" displayFolder="" count="2" memberValueDatatype="130" unbalanced="0"/>
    <cacheHierarchy uniqueName="[Staff_Attendance].[Record_ID]" caption="Record_ID" attribute="1" defaultMemberUniqueName="[Staff_Attendance].[Record_ID].[All]" allUniqueName="[Staff_Attendance].[Record_ID].[All]" dimensionUniqueName="[Staff_Attendance]" displayFolder="" count="2" memberValueDatatype="130" unbalanced="0"/>
    <cacheHierarchy uniqueName="[Staff_Attendance].[Staff_Name]" caption="Staff_Name" attribute="1" defaultMemberUniqueName="[Staff_Attendance].[Staff_Name].[All]" allUniqueName="[Staff_Attendance].[Staff_Name].[All]" dimensionUniqueName="[Staff_Attendance]" displayFolder="" count="2" memberValueDatatype="130" unbalanced="0"/>
    <cacheHierarchy uniqueName="[Staff_Attendance].[Staff_Role]" caption="Staff_Role" attribute="1" defaultMemberUniqueName="[Staff_Attendance].[Staff_Role].[All]" allUniqueName="[Staff_Attendance].[Staff_Role].[All]" dimensionUniqueName="[Staff_Attendance]" displayFolder="" count="2" memberValueDatatype="130" unbalanced="0"/>
    <cacheHierarchy uniqueName="[Staff_Attendance].[Department]" caption="Department" attribute="1" defaultMemberUniqueName="[Staff_Attendance].[Department].[All]" allUniqueName="[Staff_Attendance].[Department].[All]" dimensionUniqueName="[Staff_Attendance]" displayFolder="" count="2" memberValueDatatype="130" unbalanced="0"/>
    <cacheHierarchy uniqueName="[Staff_Attendance].[Date]" caption="Date" attribute="1" time="1" defaultMemberUniqueName="[Staff_Attendance].[Date].[All]" allUniqueName="[Staff_Attendance].[Date].[All]" dimensionUniqueName="[Staff_Attendance]" displayFolder="" count="2" memberValueDatatype="7" unbalanced="0">
      <fieldsUsage count="2">
        <fieldUsage x="-1"/>
        <fieldUsage x="2"/>
      </fieldsUsage>
    </cacheHierarchy>
    <cacheHierarchy uniqueName="[Staff_Attendance].[Clock_In (Updated)]" caption="Clock_In (Updated)" attribute="1" time="1" defaultMemberUniqueName="[Staff_Attendance].[Clock_In (Updated)].[All]" allUniqueName="[Staff_Attendance].[Clock_In (Updated)].[All]" dimensionUniqueName="[Staff_Attendance]" displayFolder="" count="2" memberValueDatatype="7" unbalanced="0"/>
    <cacheHierarchy uniqueName="[Staff_Attendance].[Clock_Out (Updated)]" caption="Clock_Out (Updated)" attribute="1" time="1" defaultMemberUniqueName="[Staff_Attendance].[Clock_Out (Updated)].[All]" allUniqueName="[Staff_Attendance].[Clock_Out (Updated)].[All]" dimensionUniqueName="[Staff_Attendance]" displayFolder="" count="2" memberValueDatatype="7" unbalanced="0"/>
    <cacheHierarchy uniqueName="[Staff_Attendance].[Hours_Worked (Updated)]" caption="Hours_Worked (Updated)" attribute="1" defaultMemberUniqueName="[Staff_Attendance].[Hours_Worked (Updated)].[All]" allUniqueName="[Staff_Attendance].[Hours_Worked (Updated)].[All]" dimensionUniqueName="[Staff_Attendance]" displayFolder="" count="2" memberValueDatatype="20" unbalanced="0"/>
    <cacheHierarchy uniqueName="[Staff_Attendance].[Shift_Type (Updated)]" caption="Shift_Type (Updated)" attribute="1" defaultMemberUniqueName="[Staff_Attendance].[Shift_Type (Updated)].[All]" allUniqueName="[Staff_Attendance].[Shift_Type (Updated)].[All]" dimensionUniqueName="[Staff_Attendance]" displayFolder="" count="2" memberValueDatatype="130" unbalanced="0"/>
    <cacheHierarchy uniqueName="[Staff_Attendance].[Attendance_Status (Updated)]" caption="Attendance_Status (Updated)" attribute="1" defaultMemberUniqueName="[Staff_Attendance].[Attendance_Status (Updated)].[All]" allUniqueName="[Staff_Attendance].[Attendance_Status (Updated)].[All]" dimensionUniqueName="[Staff_Attendance]" displayFolder="" count="2" memberValueDatatype="130" unbalanced="0"/>
    <cacheHierarchy uniqueName="[Measures].[__XL_Count Pharmacy_Sales]" caption="__XL_Count Pharmacy_Sales" measure="1" displayFolder="" measureGroup="Pharmacy_Sales" count="0" hidden="1"/>
    <cacheHierarchy uniqueName="[Measures].[__XL_Count Patient_Visits]" caption="__XL_Count Patient_Visits" measure="1" displayFolder="" measureGroup="Patient_Visits" count="0" hidden="1"/>
    <cacheHierarchy uniqueName="[Measures].[__XL_Count Staff_Attendance]" caption="__XL_Count Staff_Attendance" measure="1" displayFolder="" measureGroup="Staff_Attendance" count="0" hidden="1"/>
    <cacheHierarchy uniqueName="[Measures].[__No measures defined]" caption="__No measures defined" measure="1" displayFolder="" count="0" hidden="1"/>
    <cacheHierarchy uniqueName="[Measures].[Count of Patient_ID 2]" caption="Count of Patient_ID 2" measure="1" displayFolder="" measureGroup="Pharmacy_Sales" count="0" hidden="1">
      <extLst>
        <ext xmlns:x15="http://schemas.microsoft.com/office/spreadsheetml/2010/11/main" uri="{B97F6D7D-B522-45F9-BDA1-12C45D357490}">
          <x15:cacheHierarchy aggregatedColumn="24"/>
        </ext>
      </extLst>
    </cacheHierarchy>
    <cacheHierarchy uniqueName="[Measures].[Count of Visit_Date (Updated)]" caption="Count of Visit_Date (Updated)" measure="1" displayFolder="" measureGroup="Patient_Visits" count="0" hidden="1">
      <extLst>
        <ext xmlns:x15="http://schemas.microsoft.com/office/spreadsheetml/2010/11/main" uri="{B97F6D7D-B522-45F9-BDA1-12C45D357490}">
          <x15:cacheHierarchy aggregatedColumn="5"/>
        </ext>
      </extLst>
    </cacheHierarchy>
    <cacheHierarchy uniqueName="[Measures].[Count of Patient_ID]" caption="Count of Patient_ID" measure="1" displayFolder="" measureGroup="Patient_Visit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Bill_Amount_NGN]" caption="Sum of Bill_Amount_NGN" measure="1" displayFolder="" measureGroup="Patient_Visits" count="0" hidden="1">
      <extLst>
        <ext xmlns:x15="http://schemas.microsoft.com/office/spreadsheetml/2010/11/main" uri="{B97F6D7D-B522-45F9-BDA1-12C45D357490}">
          <x15:cacheHierarchy aggregatedColumn="20"/>
        </ext>
      </extLst>
    </cacheHierarchy>
    <cacheHierarchy uniqueName="[Measures].[Average of Bill_Amount_NGN]" caption="Average of Bill_Amount_NGN" measure="1" displayFolder="" measureGroup="Patient_Visits" count="0" hidden="1">
      <extLst>
        <ext xmlns:x15="http://schemas.microsoft.com/office/spreadsheetml/2010/11/main" uri="{B97F6D7D-B522-45F9-BDA1-12C45D357490}">
          <x15:cacheHierarchy aggregatedColumn="20"/>
        </ext>
      </extLst>
    </cacheHierarchy>
    <cacheHierarchy uniqueName="[Measures].[Sum of Total_Price_NGN (Updated)]" caption="Sum of Total_Price_NGN (Updated)" measure="1" displayFolder="" measureGroup="Pharmacy_Sales" count="0" hidden="1">
      <extLst>
        <ext xmlns:x15="http://schemas.microsoft.com/office/spreadsheetml/2010/11/main" uri="{B97F6D7D-B522-45F9-BDA1-12C45D357490}">
          <x15:cacheHierarchy aggregatedColumn="29"/>
        </ext>
      </extLst>
    </cacheHierarchy>
  </cacheHierarchies>
  <kpis count="0"/>
  <dimensions count="4">
    <dimension measure="1" name="Measures" uniqueName="[Measures]" caption="Measures"/>
    <dimension name="Patient_Visits" uniqueName="[Patient_Visits]" caption="Patient_Visits"/>
    <dimension name="Pharmacy_Sales" uniqueName="[Pharmacy_Sales]" caption="Pharmacy_Sales"/>
    <dimension name="Staff_Attendance" uniqueName="[Staff_Attendance]" caption="Staff_Attendance"/>
  </dimensions>
  <measureGroups count="3">
    <measureGroup name="Patient_Visits" caption="Patient_Visits"/>
    <measureGroup name="Pharmacy_Sales" caption="Pharmacy_Sales"/>
    <measureGroup name="Staff_Attendance" caption="Staff_Attendance"/>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5.56483333333" backgroundQuery="1" createdVersion="3" refreshedVersion="8" minRefreshableVersion="3" recordCount="0" supportSubquery="1" supportAdvancedDrill="1" xr:uid="{D1AB2986-06E6-4A17-92C1-CC4AF7101AB9}">
  <cacheSource type="external" connectionId="4">
    <extLst>
      <ext xmlns:x14="http://schemas.microsoft.com/office/spreadsheetml/2009/9/main" uri="{F057638F-6D5F-4e77-A914-E7F072B9BCA8}">
        <x14:sourceConnection name="ThisWorkbookDataModel"/>
      </ext>
    </extLst>
  </cacheSource>
  <cacheFields count="0"/>
  <cacheHierarchies count="57">
    <cacheHierarchy uniqueName="[Patient_Visits].[Patient_ID]" caption="Patient_ID" attribute="1" defaultMemberUniqueName="[Patient_Visits].[Patient_ID].[All]" allUniqueName="[Patient_Visits].[Patient_ID].[All]" dimensionUniqueName="[Patient_Visits]" displayFolder="" count="0" memberValueDatatype="130" unbalanced="0"/>
    <cacheHierarchy uniqueName="[Patient_Visits].[Patient_Name]" caption="Patient_Name" attribute="1" defaultMemberUniqueName="[Patient_Visits].[Patient_Name].[All]" allUniqueName="[Patient_Visits].[Patient_Name].[All]" dimensionUniqueName="[Patient_Visits]" displayFolder="" count="0" memberValueDatatype="130" unbalanced="0"/>
    <cacheHierarchy uniqueName="[Patient_Visits].[Age]" caption="Age" attribute="1" defaultMemberUniqueName="[Patient_Visits].[Age].[All]" allUniqueName="[Patient_Visits].[Age].[All]" dimensionUniqueName="[Patient_Visits]" displayFolder="" count="0" memberValueDatatype="20" unbalanced="0"/>
    <cacheHierarchy uniqueName="[Patient_Visits].[Gender]" caption="Gender" attribute="1" defaultMemberUniqueName="[Patient_Visits].[Gender].[All]" allUniqueName="[Patient_Visits].[Gender].[All]" dimensionUniqueName="[Patient_Visits]" displayFolder="" count="0" memberValueDatatype="130" unbalanced="0"/>
    <cacheHierarchy uniqueName="[Patient_Visits].[State]" caption="State" attribute="1" defaultMemberUniqueName="[Patient_Visits].[State].[All]" allUniqueName="[Patient_Visits].[State].[All]" dimensionUniqueName="[Patient_Visits]" displayFolder="" count="2" memberValueDatatype="130" unbalanced="0"/>
    <cacheHierarchy uniqueName="[Patient_Visits].[Visit_Date (Updated)]" caption="Visit_Date (Updated)" attribute="1" defaultMemberUniqueName="[Patient_Visits].[Visit_Date (Updated)].[All]" allUniqueName="[Patient_Visits].[Visit_Date (Updated)].[All]" dimensionUniqueName="[Patient_Visits]" displayFolder="" count="0" memberValueDatatype="130" unbalanced="0"/>
    <cacheHierarchy uniqueName="[Patient_Visits].[Column1]" caption="Column1" attribute="1" defaultMemberUniqueName="[Patient_Visits].[Column1].[All]" allUniqueName="[Patient_Visits].[Column1].[All]" dimensionUniqueName="[Patient_Visits]" displayFolder="" count="0" memberValueDatatype="130" unbalanced="0"/>
    <cacheHierarchy uniqueName="[Patient_Visits].[Month]" caption="Month" attribute="1" defaultMemberUniqueName="[Patient_Visits].[Month].[All]" allUniqueName="[Patient_Visits].[Month].[All]" dimensionUniqueName="[Patient_Visits]" displayFolder="" count="2" memberValueDatatype="130" unbalanced="0"/>
    <cacheHierarchy uniqueName="[Patient_Visits].[Department]" caption="Department" attribute="1" defaultMemberUniqueName="[Patient_Visits].[Department].[All]" allUniqueName="[Patient_Visits].[Department].[All]" dimensionUniqueName="[Patient_Visits]" displayFolder="" count="2" memberValueDatatype="130" unbalanced="0"/>
    <cacheHierarchy uniqueName="[Patient_Visits].[Doctor_Name]" caption="Doctor_Name" attribute="1" defaultMemberUniqueName="[Patient_Visits].[Doctor_Name].[All]" allUniqueName="[Patient_Visits].[Doctor_Name].[All]" dimensionUniqueName="[Patient_Visits]" displayFolder="" count="0" memberValueDatatype="130" unbalanced="0"/>
    <cacheHierarchy uniqueName="[Patient_Visits].[Diagnosis]" caption="Diagnosis" attribute="1" defaultMemberUniqueName="[Patient_Visits].[Diagnosis].[All]" allUniqueName="[Patient_Visits].[Diagnosis].[All]" dimensionUniqueName="[Patient_Visits]" displayFolder="" count="0" memberValueDatatype="130" unbalanced="0"/>
    <cacheHierarchy uniqueName="[Patient_Visits].[Visit_Type]" caption="Visit_Type" attribute="1" defaultMemberUniqueName="[Patient_Visits].[Visit_Type].[All]" allUniqueName="[Patient_Visits].[Visit_Type].[All]" dimensionUniqueName="[Patient_Visits]" displayFolder="" count="0" memberValueDatatype="130" unbalanced="0"/>
    <cacheHierarchy uniqueName="[Patient_Visits].[Blood_Pressure (Updated)]" caption="Blood_Pressure (Updated)" attribute="1" defaultMemberUniqueName="[Patient_Visits].[Blood_Pressure (Updated)].[All]" allUniqueName="[Patient_Visits].[Blood_Pressure (Updated)].[All]" dimensionUniqueName="[Patient_Visits]" displayFolder="" count="0" memberValueDatatype="130" unbalanced="0"/>
    <cacheHierarchy uniqueName="[Patient_Visits].[Heart_Rate_bpm]" caption="Heart_Rate_bpm" attribute="1" defaultMemberUniqueName="[Patient_Visits].[Heart_Rate_bpm].[All]" allUniqueName="[Patient_Visits].[Heart_Rate_bpm].[All]" dimensionUniqueName="[Patient_Visits]" displayFolder="" count="0" memberValueDatatype="20" unbalanced="0"/>
    <cacheHierarchy uniqueName="[Patient_Visits].[Body_Temp (Celsius)]" caption="Body_Temp (Celsius)" attribute="1" defaultMemberUniqueName="[Patient_Visits].[Body_Temp (Celsius)].[All]" allUniqueName="[Patient_Visits].[Body_Temp (Celsius)].[All]" dimensionUniqueName="[Patient_Visits]" displayFolder="" count="0" memberValueDatatype="5" unbalanced="0"/>
    <cacheHierarchy uniqueName="[Patient_Visits].[Body_Temp_C]" caption="Body_Temp_C" attribute="1" defaultMemberUniqueName="[Patient_Visits].[Body_Temp_C].[All]" allUniqueName="[Patient_Visits].[Body_Temp_C].[All]" dimensionUniqueName="[Patient_Visits]" displayFolder="" count="0" memberValueDatatype="5" unbalanced="0"/>
    <cacheHierarchy uniqueName="[Patient_Visits].[Weight_kg]" caption="Weight_kg" attribute="1" defaultMemberUniqueName="[Patient_Visits].[Weight_kg].[All]" allUniqueName="[Patient_Visits].[Weight_kg].[All]" dimensionUniqueName="[Patient_Visits]" displayFolder="" count="0" memberValueDatatype="5" unbalanced="0"/>
    <cacheHierarchy uniqueName="[Patient_Visits].[Height_cm]" caption="Height_cm" attribute="1" defaultMemberUniqueName="[Patient_Visits].[Height_cm].[All]" allUniqueName="[Patient_Visits].[Height_cm].[All]" dimensionUniqueName="[Patient_Visits]" displayFolder="" count="0" memberValueDatatype="20" unbalanced="0"/>
    <cacheHierarchy uniqueName="[Patient_Visits].[BMI]" caption="BMI" attribute="1" defaultMemberUniqueName="[Patient_Visits].[BMI].[All]" allUniqueName="[Patient_Visits].[BMI].[All]" dimensionUniqueName="[Patient_Visits]" displayFolder="" count="0" memberValueDatatype="5" unbalanced="0"/>
    <cacheHierarchy uniqueName="[Patient_Visits].[Payment_Method]" caption="Payment_Method" attribute="1" defaultMemberUniqueName="[Patient_Visits].[Payment_Method].[All]" allUniqueName="[Patient_Visits].[Payment_Method].[All]" dimensionUniqueName="[Patient_Visits]" displayFolder="" count="0" memberValueDatatype="130" unbalanced="0"/>
    <cacheHierarchy uniqueName="[Patient_Visits].[Bill_Amount_NGN]" caption="Bill_Amount_NGN" attribute="1" defaultMemberUniqueName="[Patient_Visits].[Bill_Amount_NGN].[All]" allUniqueName="[Patient_Visits].[Bill_Amount_NGN].[All]" dimensionUniqueName="[Patient_Visits]" displayFolder="" count="0" memberValueDatatype="20" unbalanced="0"/>
    <cacheHierarchy uniqueName="[Patient_Visits].[Payment_Status (Updated)]" caption="Payment_Status (Updated)" attribute="1" defaultMemberUniqueName="[Patient_Visits].[Payment_Status (Updated)].[All]" allUniqueName="[Patient_Visits].[Payment_Status (Updated)].[All]" dimensionUniqueName="[Patient_Visits]" displayFolder="" count="0" memberValueDatatype="130" unbalanced="0"/>
    <cacheHierarchy uniqueName="[Patient_Visits].[Follow_Up_Needed]" caption="Follow_Up_Needed" attribute="1" defaultMemberUniqueName="[Patient_Visits].[Follow_Up_Needed].[All]" allUniqueName="[Patient_Visits].[Follow_Up_Needed].[All]" dimensionUniqueName="[Patient_Visits]" displayFolder="" count="0" memberValueDatatype="130" unbalanced="0"/>
    <cacheHierarchy uniqueName="[Pharmacy_Sales].[Sale_ID]" caption="Sale_ID" attribute="1" defaultMemberUniqueName="[Pharmacy_Sales].[Sale_ID].[All]" allUniqueName="[Pharmacy_Sales].[Sale_ID].[All]" dimensionUniqueName="[Pharmacy_Sales]" displayFolder="" count="0" memberValueDatatype="130" unbalanced="0"/>
    <cacheHierarchy uniqueName="[Pharmacy_Sales].[Patient_ID]" caption="Patient_ID" attribute="1" defaultMemberUniqueName="[Pharmacy_Sales].[Patient_ID].[All]" allUniqueName="[Pharmacy_Sales].[Patient_ID].[All]" dimensionUniqueName="[Pharmacy_Sales]" displayFolder="" count="0" memberValueDatatype="130" unbalanced="0"/>
    <cacheHierarchy uniqueName="[Pharmacy_Sales].[Sale_Date (Updated)]" caption="Sale_Date (Updated)" attribute="1" time="1" defaultMemberUniqueName="[Pharmacy_Sales].[Sale_Date (Updated)].[All]" allUniqueName="[Pharmacy_Sales].[Sale_Date (Updated)].[All]" dimensionUniqueName="[Pharmacy_Sales]" displayFolder="" count="0" memberValueDatatype="7" unbalanced="0"/>
    <cacheHierarchy uniqueName="[Pharmacy_Sales].[Drug_Name]" caption="Drug_Name" attribute="1" defaultMemberUniqueName="[Pharmacy_Sales].[Drug_Name].[All]" allUniqueName="[Pharmacy_Sales].[Drug_Name].[All]" dimensionUniqueName="[Pharmacy_Sales]" displayFolder="" count="0" memberValueDatatype="130" unbalanced="0"/>
    <cacheHierarchy uniqueName="[Pharmacy_Sales].[Quantity_Sold]" caption="Quantity_Sold" attribute="1" defaultMemberUniqueName="[Pharmacy_Sales].[Quantity_Sold].[All]" allUniqueName="[Pharmacy_Sales].[Quantity_Sold].[All]" dimensionUniqueName="[Pharmacy_Sales]" displayFolder="" count="0" memberValueDatatype="20" unbalanced="0"/>
    <cacheHierarchy uniqueName="[Pharmacy_Sales].[Unit_Price_NGN]" caption="Unit_Price_NGN" attribute="1" defaultMemberUniqueName="[Pharmacy_Sales].[Unit_Price_NGN].[All]" allUniqueName="[Pharmacy_Sales].[Unit_Price_NGN].[All]" dimensionUniqueName="[Pharmacy_Sales]" displayFolder="" count="0" memberValueDatatype="20" unbalanced="0"/>
    <cacheHierarchy uniqueName="[Pharmacy_Sales].[Total_Price_NGN (Updated)]" caption="Total_Price_NGN (Updated)" attribute="1" defaultMemberUniqueName="[Pharmacy_Sales].[Total_Price_NGN (Updated)].[All]" allUniqueName="[Pharmacy_Sales].[Total_Price_NGN (Updated)].[All]" dimensionUniqueName="[Pharmacy_Sales]" displayFolder="" count="0" memberValueDatatype="20" unbalanced="0"/>
    <cacheHierarchy uniqueName="[Pharmacy_Sales].[Pharmacist]" caption="Pharmacist" attribute="1" defaultMemberUniqueName="[Pharmacy_Sales].[Pharmacist].[All]" allUniqueName="[Pharmacy_Sales].[Pharmacist].[All]" dimensionUniqueName="[Pharmacy_Sales]" displayFolder="" count="0" memberValueDatatype="130" unbalanced="0"/>
    <cacheHierarchy uniqueName="[Pharmacy_Sales].[Prescription_Required]" caption="Prescription_Required" attribute="1" defaultMemberUniqueName="[Pharmacy_Sales].[Prescription_Required].[All]" allUniqueName="[Pharmacy_Sales].[Prescription_Required].[All]" dimensionUniqueName="[Pharmacy_Sales]" displayFolder="" count="0" memberValueDatatype="130" unbalanced="0"/>
    <cacheHierarchy uniqueName="[Pharmacy_Sales].[Prescription_Provided]" caption="Prescription_Provided" attribute="1" defaultMemberUniqueName="[Pharmacy_Sales].[Prescription_Provided].[All]" allUniqueName="[Pharmacy_Sales].[Prescription_Provided].[All]" dimensionUniqueName="[Pharmacy_Sales]" displayFolder="" count="0" memberValueDatatype="130" unbalanced="0"/>
    <cacheHierarchy uniqueName="[Pharmacy_Sales].[Prescription_Compliance]" caption="Prescription_Compliance" attribute="1" defaultMemberUniqueName="[Pharmacy_Sales].[Prescription_Compliance].[All]" allUniqueName="[Pharmacy_Sales].[Prescription_Compliance].[All]" dimensionUniqueName="[Pharmacy_Sales]" displayFolder="" count="0" memberValueDatatype="130" unbalanced="0"/>
    <cacheHierarchy uniqueName="[Pharmacy_Sales].[Stock_After_Sale]" caption="Stock_After_Sale" attribute="1" defaultMemberUniqueName="[Pharmacy_Sales].[Stock_After_Sale].[All]" allUniqueName="[Pharmacy_Sales].[Stock_After_Sale].[All]" dimensionUniqueName="[Pharmacy_Sales]" displayFolder="" count="0" memberValueDatatype="20" unbalanced="0"/>
    <cacheHierarchy uniqueName="[Pharmacy_Sales].[Expiry_Date]" caption="Expiry_Date" attribute="1" time="1" defaultMemberUniqueName="[Pharmacy_Sales].[Expiry_Date].[All]" allUniqueName="[Pharmacy_Sales].[Expiry_Date].[All]" dimensionUniqueName="[Pharmacy_Sales]" displayFolder="" count="0" memberValueDatatype="7" unbalanced="0"/>
    <cacheHierarchy uniqueName="[Pharmacy_Sales].[Expiry_Drug_Sold]" caption="Expiry_Drug_Sold" attribute="1" defaultMemberUniqueName="[Pharmacy_Sales].[Expiry_Drug_Sold].[All]" allUniqueName="[Pharmacy_Sales].[Expiry_Drug_Sold].[All]" dimensionUniqueName="[Pharmacy_Sales]" displayFolder="" count="0" memberValueDatatype="130" unbalanced="0"/>
    <cacheHierarchy uniqueName="[Staff_Attendance].[Record_ID]" caption="Record_ID" attribute="1" defaultMemberUniqueName="[Staff_Attendance].[Record_ID].[All]" allUniqueName="[Staff_Attendance].[Record_ID].[All]" dimensionUniqueName="[Staff_Attendance]" displayFolder="" count="0" memberValueDatatype="130" unbalanced="0"/>
    <cacheHierarchy uniqueName="[Staff_Attendance].[Staff_Name]" caption="Staff_Name" attribute="1" defaultMemberUniqueName="[Staff_Attendance].[Staff_Name].[All]" allUniqueName="[Staff_Attendance].[Staff_Name].[All]" dimensionUniqueName="[Staff_Attendance]" displayFolder="" count="0" memberValueDatatype="130" unbalanced="0"/>
    <cacheHierarchy uniqueName="[Staff_Attendance].[Staff_Role]" caption="Staff_Role" attribute="1" defaultMemberUniqueName="[Staff_Attendance].[Staff_Role].[All]" allUniqueName="[Staff_Attendance].[Staff_Role].[All]" dimensionUniqueName="[Staff_Attendance]" displayFolder="" count="0" memberValueDatatype="130" unbalanced="0"/>
    <cacheHierarchy uniqueName="[Staff_Attendance].[Department]" caption="Department" attribute="1" defaultMemberUniqueName="[Staff_Attendance].[Department].[All]" allUniqueName="[Staff_Attendance].[Department].[All]" dimensionUniqueName="[Staff_Attendance]" displayFolder="" count="0" memberValueDatatype="130" unbalanced="0"/>
    <cacheHierarchy uniqueName="[Staff_Attendance].[Date]" caption="Date" attribute="1" time="1" defaultMemberUniqueName="[Staff_Attendance].[Date].[All]" allUniqueName="[Staff_Attendance].[Date].[All]" dimensionUniqueName="[Staff_Attendance]" displayFolder="" count="0" memberValueDatatype="7" unbalanced="0"/>
    <cacheHierarchy uniqueName="[Staff_Attendance].[Clock_In (Updated)]" caption="Clock_In (Updated)" attribute="1" time="1" defaultMemberUniqueName="[Staff_Attendance].[Clock_In (Updated)].[All]" allUniqueName="[Staff_Attendance].[Clock_In (Updated)].[All]" dimensionUniqueName="[Staff_Attendance]" displayFolder="" count="0" memberValueDatatype="7" unbalanced="0"/>
    <cacheHierarchy uniqueName="[Staff_Attendance].[Clock_Out (Updated)]" caption="Clock_Out (Updated)" attribute="1" time="1" defaultMemberUniqueName="[Staff_Attendance].[Clock_Out (Updated)].[All]" allUniqueName="[Staff_Attendance].[Clock_Out (Updated)].[All]" dimensionUniqueName="[Staff_Attendance]" displayFolder="" count="0" memberValueDatatype="7" unbalanced="0"/>
    <cacheHierarchy uniqueName="[Staff_Attendance].[Hours_Worked (Updated)]" caption="Hours_Worked (Updated)" attribute="1" defaultMemberUniqueName="[Staff_Attendance].[Hours_Worked (Updated)].[All]" allUniqueName="[Staff_Attendance].[Hours_Worked (Updated)].[All]" dimensionUniqueName="[Staff_Attendance]" displayFolder="" count="0" memberValueDatatype="20" unbalanced="0"/>
    <cacheHierarchy uniqueName="[Staff_Attendance].[Shift_Type (Updated)]" caption="Shift_Type (Updated)" attribute="1" defaultMemberUniqueName="[Staff_Attendance].[Shift_Type (Updated)].[All]" allUniqueName="[Staff_Attendance].[Shift_Type (Updated)].[All]" dimensionUniqueName="[Staff_Attendance]" displayFolder="" count="0" memberValueDatatype="130" unbalanced="0"/>
    <cacheHierarchy uniqueName="[Staff_Attendance].[Attendance_Status (Updated)]" caption="Attendance_Status (Updated)" attribute="1" defaultMemberUniqueName="[Staff_Attendance].[Attendance_Status (Updated)].[All]" allUniqueName="[Staff_Attendance].[Attendance_Status (Updated)].[All]" dimensionUniqueName="[Staff_Attendance]" displayFolder="" count="0" memberValueDatatype="130" unbalanced="0"/>
    <cacheHierarchy uniqueName="[Measures].[__XL_Count Pharmacy_Sales]" caption="__XL_Count Pharmacy_Sales" measure="1" displayFolder="" measureGroup="Pharmacy_Sales" count="0" hidden="1"/>
    <cacheHierarchy uniqueName="[Measures].[__XL_Count Patient_Visits]" caption="__XL_Count Patient_Visits" measure="1" displayFolder="" measureGroup="Patient_Visits" count="0" hidden="1"/>
    <cacheHierarchy uniqueName="[Measures].[__XL_Count Staff_Attendance]" caption="__XL_Count Staff_Attendance" measure="1" displayFolder="" measureGroup="Staff_Attendance" count="0" hidden="1"/>
    <cacheHierarchy uniqueName="[Measures].[__No measures defined]" caption="__No measures defined" measure="1" displayFolder="" count="0" hidden="1"/>
    <cacheHierarchy uniqueName="[Measures].[Count of Patient_ID 2]" caption="Count of Patient_ID 2" measure="1" displayFolder="" measureGroup="Pharmacy_Sales" count="0" hidden="1">
      <extLst>
        <ext xmlns:x15="http://schemas.microsoft.com/office/spreadsheetml/2010/11/main" uri="{B97F6D7D-B522-45F9-BDA1-12C45D357490}">
          <x15:cacheHierarchy aggregatedColumn="24"/>
        </ext>
      </extLst>
    </cacheHierarchy>
    <cacheHierarchy uniqueName="[Measures].[Count of Visit_Date (Updated)]" caption="Count of Visit_Date (Updated)" measure="1" displayFolder="" measureGroup="Patient_Visits" count="0" hidden="1">
      <extLst>
        <ext xmlns:x15="http://schemas.microsoft.com/office/spreadsheetml/2010/11/main" uri="{B97F6D7D-B522-45F9-BDA1-12C45D357490}">
          <x15:cacheHierarchy aggregatedColumn="5"/>
        </ext>
      </extLst>
    </cacheHierarchy>
    <cacheHierarchy uniqueName="[Measures].[Count of Patient_ID]" caption="Count of Patient_ID" measure="1" displayFolder="" measureGroup="Patient_Visits" count="0" hidden="1">
      <extLst>
        <ext xmlns:x15="http://schemas.microsoft.com/office/spreadsheetml/2010/11/main" uri="{B97F6D7D-B522-45F9-BDA1-12C45D357490}">
          <x15:cacheHierarchy aggregatedColumn="0"/>
        </ext>
      </extLst>
    </cacheHierarchy>
    <cacheHierarchy uniqueName="[Measures].[Sum of Bill_Amount_NGN]" caption="Sum of Bill_Amount_NGN" measure="1" displayFolder="" measureGroup="Patient_Visits" count="0" hidden="1">
      <extLst>
        <ext xmlns:x15="http://schemas.microsoft.com/office/spreadsheetml/2010/11/main" uri="{B97F6D7D-B522-45F9-BDA1-12C45D357490}">
          <x15:cacheHierarchy aggregatedColumn="20"/>
        </ext>
      </extLst>
    </cacheHierarchy>
    <cacheHierarchy uniqueName="[Measures].[Average of Bill_Amount_NGN]" caption="Average of Bill_Amount_NGN" measure="1" displayFolder="" measureGroup="Patient_Visits" count="0" hidden="1">
      <extLst>
        <ext xmlns:x15="http://schemas.microsoft.com/office/spreadsheetml/2010/11/main" uri="{B97F6D7D-B522-45F9-BDA1-12C45D357490}">
          <x15:cacheHierarchy aggregatedColumn="20"/>
        </ext>
      </extLst>
    </cacheHierarchy>
    <cacheHierarchy uniqueName="[Measures].[Sum of Total_Price_NGN (Updated)]" caption="Sum of Total_Price_NGN (Updated)" measure="1" displayFolder="" measureGroup="Pharmacy_Sale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2079273335"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5.566396527778" createdVersion="8" refreshedVersion="8" minRefreshableVersion="3" recordCount="190" xr:uid="{FA5F0CC3-4030-42EA-9F64-5A9CDCBE1494}">
  <cacheSource type="worksheet">
    <worksheetSource name="Patient_Visits"/>
  </cacheSource>
  <cacheFields count="23">
    <cacheField name="Patient_ID" numFmtId="0">
      <sharedItems/>
    </cacheField>
    <cacheField name="Patient_Name" numFmtId="0">
      <sharedItems/>
    </cacheField>
    <cacheField name="Age" numFmtId="0">
      <sharedItems containsSemiMixedTypes="0" containsString="0" containsNumber="1" containsInteger="1" minValue="0" maxValue="75"/>
    </cacheField>
    <cacheField name="Gender" numFmtId="0">
      <sharedItems/>
    </cacheField>
    <cacheField name="State" numFmtId="0">
      <sharedItems/>
    </cacheField>
    <cacheField name="Visit_Date (Updated)" numFmtId="0">
      <sharedItems/>
    </cacheField>
    <cacheField name="Column1" numFmtId="0">
      <sharedItems count="12">
        <s v="11"/>
        <s v="07"/>
        <s v="02"/>
        <s v="12"/>
        <s v="05"/>
        <s v="01"/>
        <s v="09"/>
        <s v="04"/>
        <s v="08"/>
        <s v="06"/>
        <s v="03"/>
        <s v="10"/>
      </sharedItems>
    </cacheField>
    <cacheField name="Month" numFmtId="0">
      <sharedItems count="12">
        <s v="November"/>
        <s v="July"/>
        <s v="February"/>
        <s v="December"/>
        <s v="May"/>
        <s v="January"/>
        <s v="September"/>
        <s v="April"/>
        <s v="August"/>
        <s v="June"/>
        <s v="March"/>
        <s v="October"/>
      </sharedItems>
    </cacheField>
    <cacheField name="Department" numFmtId="0">
      <sharedItems/>
    </cacheField>
    <cacheField name="Doctor_Name" numFmtId="0">
      <sharedItems/>
    </cacheField>
    <cacheField name="Diagnosis" numFmtId="0">
      <sharedItems/>
    </cacheField>
    <cacheField name="Visit_Type" numFmtId="0">
      <sharedItems/>
    </cacheField>
    <cacheField name="Blood_Pressure (Updated)" numFmtId="0">
      <sharedItems/>
    </cacheField>
    <cacheField name="Heart_Rate_bpm" numFmtId="0">
      <sharedItems containsSemiMixedTypes="0" containsString="0" containsNumber="1" containsInteger="1" minValue="60" maxValue="110"/>
    </cacheField>
    <cacheField name="Body_Temp (Celsius)" numFmtId="0">
      <sharedItems containsSemiMixedTypes="0" containsString="0" containsNumber="1" minValue="36" maxValue="39.5"/>
    </cacheField>
    <cacheField name="Body_Temp_C" numFmtId="0">
      <sharedItems containsSemiMixedTypes="0" containsString="0" containsNumber="1" minValue="36" maxValue="101.9"/>
    </cacheField>
    <cacheField name="Weight_kg" numFmtId="0">
      <sharedItems containsSemiMixedTypes="0" containsString="0" containsNumber="1" minValue="40.200000000000003" maxValue="109.8"/>
    </cacheField>
    <cacheField name="Height_cm" numFmtId="0">
      <sharedItems containsSemiMixedTypes="0" containsString="0" containsNumber="1" containsInteger="1" minValue="148" maxValue="192"/>
    </cacheField>
    <cacheField name="BMI" numFmtId="0">
      <sharedItems containsSemiMixedTypes="0" containsString="0" containsNumber="1" minValue="12.1" maxValue="46.7"/>
    </cacheField>
    <cacheField name="Payment_Method" numFmtId="0">
      <sharedItems/>
    </cacheField>
    <cacheField name="Bill_Amount_NGN" numFmtId="0">
      <sharedItems containsSemiMixedTypes="0" containsString="0" containsNumber="1" containsInteger="1" minValue="0" maxValue="119293"/>
    </cacheField>
    <cacheField name="Payment_Status (Updated)" numFmtId="0">
      <sharedItems/>
    </cacheField>
    <cacheField name="Follow_Up_Needed" numFmtId="0">
      <sharedItems/>
    </cacheField>
  </cacheFields>
  <extLst>
    <ext xmlns:x14="http://schemas.microsoft.com/office/spreadsheetml/2009/9/main" uri="{725AE2AE-9491-48be-B2B4-4EB974FC3084}">
      <x14:pivotCacheDefinition pivotCacheId="2900319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0">
  <r>
    <s v="P001"/>
    <s v="Amara Okafor"/>
    <n v="46"/>
    <s v="Male"/>
    <s v="Kaduna"/>
    <s v="11/30/2023"/>
    <x v="0"/>
    <x v="0"/>
    <s v="General OPD"/>
    <s v="Dr. Adeyemi"/>
    <s v="Dental Caries"/>
    <s v="First Visit"/>
    <s v="151/63"/>
    <n v="92"/>
    <n v="36.799999999999997"/>
    <n v="36.799999999999997"/>
    <n v="46"/>
    <n v="174"/>
    <n v="15.2"/>
    <s v="NHIS"/>
    <n v="34544"/>
    <s v="Paid"/>
    <s v="No"/>
  </r>
  <r>
    <s v="P002"/>
    <s v="Bola Adeyemi"/>
    <n v="12"/>
    <s v="Male"/>
    <s v="Enugu"/>
    <s v="11/19/2023"/>
    <x v="0"/>
    <x v="0"/>
    <s v="Dental"/>
    <s v="Dr. Okafor"/>
    <s v="Malaria"/>
    <s v="Routine Check-Up"/>
    <s v="111/74"/>
    <n v="62"/>
    <n v="37.9"/>
    <n v="37.9"/>
    <n v="49.3"/>
    <n v="174"/>
    <n v="16.3"/>
    <s v="Cash"/>
    <n v="73868"/>
    <s v="Paid"/>
    <s v="No"/>
  </r>
  <r>
    <s v="P003"/>
    <s v="Chidi Nwosu"/>
    <n v="28"/>
    <s v="Male"/>
    <s v="Enugu"/>
    <s v="7/10/2023"/>
    <x v="1"/>
    <x v="1"/>
    <s v="General OPD"/>
    <s v="Dr. Okafor"/>
    <s v="Hypertension"/>
    <s v="First Visit"/>
    <s v="131/91"/>
    <n v="103"/>
    <n v="37.9"/>
    <n v="37.9"/>
    <n v="94.4"/>
    <n v="177"/>
    <n v="30.1"/>
    <s v="Bank Transfer"/>
    <n v="62399"/>
    <s v="Unpaid"/>
    <s v="No"/>
  </r>
  <r>
    <s v="P004"/>
    <s v="Dupe Fashola"/>
    <n v="36"/>
    <s v="Male"/>
    <s v="Enugu"/>
    <s v="2/11/2023"/>
    <x v="2"/>
    <x v="2"/>
    <s v="Eye Clinic"/>
    <s v="Dr. Chukwu"/>
    <s v="Dental Caries"/>
    <s v="Routine Check-Up"/>
    <s v="148/88"/>
    <n v="78"/>
    <n v="38.1"/>
    <n v="38.1"/>
    <n v="45.1"/>
    <n v="180"/>
    <n v="13.9"/>
    <s v="POS"/>
    <n v="24621"/>
    <s v="Unpaid"/>
    <s v="Yes"/>
  </r>
  <r>
    <s v="P005"/>
    <s v="Emeka Eze"/>
    <n v="67"/>
    <s v="Unknown"/>
    <s v="Lagos"/>
    <s v="12/9/2023"/>
    <x v="3"/>
    <x v="3"/>
    <s v="General OPD"/>
    <s v="Dr. Okafor"/>
    <s v="Asthma"/>
    <s v="Emergency"/>
    <s v="148/82"/>
    <n v="98"/>
    <n v="37.700000000000003"/>
    <n v="37.700000000000003"/>
    <n v="95.8"/>
    <n v="152"/>
    <n v="41.5"/>
    <s v="NHIS"/>
    <n v="38381"/>
    <s v="Unpaid"/>
    <s v="Yes"/>
  </r>
  <r>
    <s v="P006"/>
    <s v="Fatima Bello"/>
    <n v="12"/>
    <s v="Female"/>
    <s v="Delta"/>
    <s v="5/26/2023"/>
    <x v="4"/>
    <x v="4"/>
    <s v="Dental"/>
    <s v="Dr. Ibrahim"/>
    <s v="Anaemia"/>
    <s v="First Visit"/>
    <s v="164/82"/>
    <n v="70"/>
    <n v="38.1"/>
    <n v="38.1"/>
    <n v="74.599999999999994"/>
    <n v="161"/>
    <n v="28.8"/>
    <s v="HMO"/>
    <n v="19952"/>
    <s v="Pending"/>
    <s v="Yes"/>
  </r>
  <r>
    <s v="P007"/>
    <s v="Garba Musa"/>
    <n v="55"/>
    <s v="Female"/>
    <s v="Delta"/>
    <s v="2/11/2023"/>
    <x v="2"/>
    <x v="2"/>
    <s v="Cardiology"/>
    <s v="Dr. Ibrahim"/>
    <s v="Gastroenteritis"/>
    <s v="Emergency"/>
    <s v="122/87"/>
    <n v="95"/>
    <n v="37"/>
    <n v="37"/>
    <n v="69.099999999999994"/>
    <n v="170"/>
    <n v="23.9"/>
    <s v="POS"/>
    <n v="33245"/>
    <s v="Paid"/>
    <s v="Yes"/>
  </r>
  <r>
    <s v="P008"/>
    <s v="Hauwa Ibrahim"/>
    <n v="10"/>
    <s v="Male"/>
    <s v="Enugu"/>
    <s v="1/7/2023"/>
    <x v="5"/>
    <x v="5"/>
    <s v="Pediatrics"/>
    <s v="Dr. Okafor"/>
    <s v="Diabetes"/>
    <s v="Emergency"/>
    <s v="141/60"/>
    <n v="69"/>
    <n v="37.5"/>
    <n v="37.5"/>
    <n v="65.8"/>
    <n v="184"/>
    <n v="19.399999999999999"/>
    <s v="HMO"/>
    <n v="19448"/>
    <s v="Pending"/>
    <s v="Yes"/>
  </r>
  <r>
    <s v="P009"/>
    <s v="Ifeanyi Obi"/>
    <n v="63"/>
    <s v="Female"/>
    <s v="Kaduna"/>
    <s v="7/24/2023"/>
    <x v="1"/>
    <x v="1"/>
    <s v="Pediatrics"/>
    <s v="Dr. Adeyemi"/>
    <s v="Eye Infection"/>
    <s v="Routine Check-Up"/>
    <s v="112/72"/>
    <n v="64"/>
    <n v="39.4"/>
    <n v="39.4"/>
    <n v="70.8"/>
    <n v="155"/>
    <n v="29.5"/>
    <s v="HMO"/>
    <n v="81738"/>
    <s v="Paid"/>
    <s v="Yes"/>
  </r>
  <r>
    <s v="P012"/>
    <s v="Lola Adeleke"/>
    <n v="72"/>
    <s v="Female"/>
    <s v="Abuja"/>
    <s v="12/23/2023"/>
    <x v="3"/>
    <x v="3"/>
    <s v="Diabetes Clinic"/>
    <s v="Dr. Okafor"/>
    <s v="Anaemia"/>
    <s v="Follow-Up"/>
    <s v="150/74"/>
    <n v="94"/>
    <n v="37.9"/>
    <n v="37.9"/>
    <n v="75.2"/>
    <n v="188"/>
    <n v="21.3"/>
    <s v="Cash"/>
    <n v="83377"/>
    <s v="Paid"/>
    <s v="Yes"/>
  </r>
  <r>
    <s v="P013"/>
    <s v="Musa Dangote"/>
    <n v="56"/>
    <s v="Male"/>
    <s v="Enugu"/>
    <s v="9/23/2023"/>
    <x v="6"/>
    <x v="6"/>
    <s v="Pediatrics"/>
    <s v="Dr. Chukwu"/>
    <s v="Malaria"/>
    <s v="First Visit"/>
    <s v="140/90"/>
    <n v="76"/>
    <n v="36.700000000000003"/>
    <n v="36.700000000000003"/>
    <n v="82.4"/>
    <n v="170"/>
    <n v="28.5"/>
    <s v="POS"/>
    <n v="108980"/>
    <s v="Pending"/>
    <s v="No"/>
  </r>
  <r>
    <s v="P014"/>
    <s v="Ngozi Eze"/>
    <n v="51"/>
    <s v="Male"/>
    <s v="Enugu"/>
    <s v="2/22/2023"/>
    <x v="2"/>
    <x v="2"/>
    <s v="Cardiology"/>
    <s v="Dr. Ibrahim"/>
    <s v="Typhoid Fever"/>
    <s v="Emergency"/>
    <s v="131/90"/>
    <n v="99"/>
    <n v="39.4"/>
    <n v="39.4"/>
    <n v="82.7"/>
    <n v="148"/>
    <n v="37.799999999999997"/>
    <s v="POS"/>
    <n v="88587"/>
    <s v="Unpaid"/>
    <s v="Yes"/>
  </r>
  <r>
    <s v="P015"/>
    <s v="Obinna Igwe"/>
    <n v="20"/>
    <s v="Unknown"/>
    <s v="Enugu"/>
    <s v="9/2/2023"/>
    <x v="6"/>
    <x v="6"/>
    <s v="Cardiology"/>
    <s v="Dr. Ibrahim"/>
    <s v="Anaemia"/>
    <s v="First Visit"/>
    <s v="155/89"/>
    <n v="85"/>
    <n v="38.6"/>
    <n v="38.6"/>
    <n v="45.9"/>
    <n v="158"/>
    <n v="18.399999999999999"/>
    <s v="Cash"/>
    <n v="19651"/>
    <s v="Paid"/>
    <s v="Yes"/>
  </r>
  <r>
    <s v="P018"/>
    <s v="Suleiman Yusuf"/>
    <n v="69"/>
    <s v="Male"/>
    <s v="Kano"/>
    <s v="9/26/2023"/>
    <x v="6"/>
    <x v="6"/>
    <s v="Eye Clinic"/>
    <s v="Dr. Adeyemi"/>
    <s v="Incomplete Record"/>
    <s v="Follow-Up"/>
    <s v="105/69"/>
    <n v="71"/>
    <n v="36.5"/>
    <n v="36.5"/>
    <n v="83.3"/>
    <n v="155"/>
    <n v="34.700000000000003"/>
    <s v="Bank Transfer"/>
    <n v="11094"/>
    <s v="Unpaid"/>
    <s v="No"/>
  </r>
  <r>
    <s v="P019"/>
    <s v="Taiwo Ajayi"/>
    <n v="18"/>
    <s v="Male"/>
    <s v="Enugu"/>
    <s v="4/8/2023"/>
    <x v="7"/>
    <x v="7"/>
    <s v="Diabetes Clinic"/>
    <s v="Dr. Adeyemi"/>
    <s v="Hypertension"/>
    <s v="Routine Check-Up"/>
    <s v="108/64"/>
    <n v="88"/>
    <n v="37.1"/>
    <n v="37.1"/>
    <n v="108.1"/>
    <n v="186"/>
    <n v="31.2"/>
    <s v="Bank Transfer"/>
    <n v="29136"/>
    <s v="Pending"/>
    <s v="No"/>
  </r>
  <r>
    <s v="P020"/>
    <s v="Uche Okonkwo"/>
    <n v="62"/>
    <s v="Female"/>
    <s v="Enugu"/>
    <s v="12/24/2023"/>
    <x v="3"/>
    <x v="3"/>
    <s v="Eye Clinic"/>
    <s v="Dr. Chukwu"/>
    <s v="Dental Caries"/>
    <s v="Follow-Up"/>
    <s v="162/68"/>
    <n v="86"/>
    <n v="36.4"/>
    <n v="36.4"/>
    <n v="70.900000000000006"/>
    <n v="152"/>
    <n v="30.7"/>
    <s v="Cash"/>
    <n v="59143"/>
    <s v="Paid"/>
    <s v="Yes"/>
  </r>
  <r>
    <s v="P021"/>
    <s v="Amara Okafor"/>
    <n v="43"/>
    <s v="Male"/>
    <s v="Kano"/>
    <s v="11/26/2023"/>
    <x v="0"/>
    <x v="0"/>
    <s v="Dental"/>
    <s v="Dr. Chukwu"/>
    <s v="Diabetes"/>
    <s v="Emergency"/>
    <s v="122/89"/>
    <n v="74"/>
    <n v="36.5"/>
    <n v="97.7"/>
    <n v="101.9"/>
    <n v="158"/>
    <n v="40.799999999999997"/>
    <s v="Cash"/>
    <n v="24163"/>
    <s v="Pending"/>
    <s v="No"/>
  </r>
  <r>
    <s v="P022"/>
    <s v="Bola Adeyemi"/>
    <n v="70"/>
    <s v="Female"/>
    <s v="Oyo"/>
    <s v="8/4/2023"/>
    <x v="8"/>
    <x v="8"/>
    <s v="Cardiology"/>
    <s v="Dr. Chukwu"/>
    <s v="Anaemia"/>
    <s v="First Visit"/>
    <s v="151/61"/>
    <n v="81"/>
    <n v="37.9"/>
    <n v="37.9"/>
    <n v="70.8"/>
    <n v="149"/>
    <n v="31.9"/>
    <s v="POS"/>
    <n v="46450"/>
    <s v="Pending"/>
    <s v="No"/>
  </r>
  <r>
    <s v="P023"/>
    <s v="Chidi Nwosu"/>
    <n v="70"/>
    <s v="Male"/>
    <s v="Abuja"/>
    <s v="4/28/2023"/>
    <x v="7"/>
    <x v="7"/>
    <s v="General OPD"/>
    <s v="Dr. Adeyemi"/>
    <s v="Upper Respiratory Infection"/>
    <s v="Emergency"/>
    <s v="110/71"/>
    <n v="77"/>
    <n v="38.6"/>
    <n v="38.6"/>
    <n v="97.4"/>
    <n v="191"/>
    <n v="26.7"/>
    <s v="HMO"/>
    <n v="56208"/>
    <s v="Paid"/>
    <s v="No"/>
  </r>
  <r>
    <s v="P024"/>
    <s v="Dupe Fashola"/>
    <n v="46"/>
    <s v="Male"/>
    <s v="Rivers"/>
    <s v="1/30/2023"/>
    <x v="5"/>
    <x v="5"/>
    <s v="Dental"/>
    <s v="Dr. Bello"/>
    <s v="Gastroenteritis"/>
    <s v="First Visit"/>
    <s v="139/61"/>
    <n v="100"/>
    <n v="36.299999999999997"/>
    <n v="36.299999999999997"/>
    <n v="58.2"/>
    <n v="186"/>
    <n v="16.8"/>
    <s v="Cash"/>
    <n v="2000"/>
    <s v="Paid"/>
    <s v="No"/>
  </r>
  <r>
    <s v="P025"/>
    <s v="Emeka Eze"/>
    <n v="6"/>
    <s v="Unknown"/>
    <s v="Kaduna"/>
    <s v="5/18/2023"/>
    <x v="4"/>
    <x v="4"/>
    <s v="Eye Clinic"/>
    <s v="Dr. Bello"/>
    <s v="Malaria"/>
    <s v="Follow-Up"/>
    <s v="119/70"/>
    <n v="76"/>
    <n v="36.200000000000003"/>
    <n v="36.200000000000003"/>
    <n v="54.1"/>
    <n v="167"/>
    <n v="19.399999999999999"/>
    <s v="HMO"/>
    <n v="72610"/>
    <s v="Paid"/>
    <s v="No"/>
  </r>
  <r>
    <s v="P026"/>
    <s v="Fatima Bello"/>
    <n v="62"/>
    <s v="Male"/>
    <s v="Rivers"/>
    <s v="6/27/2023"/>
    <x v="9"/>
    <x v="9"/>
    <s v="General OPD"/>
    <s v="Dr. Chukwu"/>
    <s v="Malaria"/>
    <s v="First Visit"/>
    <s v="107/92"/>
    <n v="95"/>
    <n v="39.4"/>
    <n v="39.4"/>
    <n v="76"/>
    <n v="163"/>
    <n v="28.6"/>
    <s v="POS"/>
    <n v="16930"/>
    <s v="Pending"/>
    <s v="No"/>
  </r>
  <r>
    <s v="P027"/>
    <s v="Garba Musa"/>
    <n v="68"/>
    <s v="Female"/>
    <s v="Rivers"/>
    <s v="12/19/2023"/>
    <x v="3"/>
    <x v="3"/>
    <s v="Cardiology"/>
    <s v="Dr. Bello"/>
    <s v="Anaemia"/>
    <s v="Follow-Up"/>
    <s v="122/85"/>
    <n v="82"/>
    <n v="39.4"/>
    <n v="39.4"/>
    <n v="98.6"/>
    <n v="148"/>
    <n v="45"/>
    <s v="NHIS"/>
    <n v="0"/>
    <s v="Waived"/>
    <s v="No"/>
  </r>
  <r>
    <s v="P028"/>
    <s v="Hauwa Ibrahim"/>
    <n v="10"/>
    <s v="Male"/>
    <s v="Abuja"/>
    <s v="12/7/2023"/>
    <x v="3"/>
    <x v="3"/>
    <s v="Pediatrics"/>
    <s v="Dr. Okafor"/>
    <s v="Upper Respiratory Infection"/>
    <s v="Follow-Up"/>
    <s v="142/62"/>
    <n v="89"/>
    <n v="36.6"/>
    <n v="36.6"/>
    <n v="58.8"/>
    <n v="148"/>
    <n v="26.8"/>
    <s v="HMO"/>
    <n v="50728"/>
    <s v="Unpaid"/>
    <s v="No"/>
  </r>
  <r>
    <s v="P029"/>
    <s v="Ifeanyi Obi"/>
    <n v="36"/>
    <s v="Male"/>
    <s v="Rivers"/>
    <s v="4/22/2023"/>
    <x v="7"/>
    <x v="7"/>
    <s v="Diabetes Clinic"/>
    <s v="Dr. Bello"/>
    <s v="Malaria"/>
    <s v="Emergency"/>
    <s v="153/65"/>
    <n v="90"/>
    <n v="37"/>
    <n v="37"/>
    <n v="85.9"/>
    <n v="163"/>
    <n v="32.299999999999997"/>
    <s v="Bank Transfer"/>
    <n v="104743"/>
    <s v="Paid"/>
    <s v="Yes"/>
  </r>
  <r>
    <s v="P032"/>
    <s v="Lola Adeleke"/>
    <n v="15"/>
    <s v="Male"/>
    <s v="Lagos"/>
    <s v="3/10/2023"/>
    <x v="10"/>
    <x v="10"/>
    <s v="Dental"/>
    <s v="Dr. Chukwu"/>
    <s v="Hypertension"/>
    <s v="Routine Check-Up"/>
    <s v="162/95"/>
    <n v="63"/>
    <n v="38.200000000000003"/>
    <n v="38.200000000000003"/>
    <n v="83.8"/>
    <n v="191"/>
    <n v="23"/>
    <s v="Cash"/>
    <n v="67132"/>
    <s v="Unpaid"/>
    <s v="Yes"/>
  </r>
  <r>
    <s v="P033"/>
    <s v="Musa Dangote"/>
    <n v="63"/>
    <s v="Male"/>
    <s v="Abuja"/>
    <s v="12/4/2023"/>
    <x v="3"/>
    <x v="3"/>
    <s v="Eye Clinic"/>
    <s v="Dr. Adeyemi"/>
    <s v="Eye Infection"/>
    <s v="Emergency"/>
    <s v="114/76"/>
    <n v="75"/>
    <n v="38.6"/>
    <n v="38.6"/>
    <n v="54.4"/>
    <n v="189"/>
    <n v="15.2"/>
    <s v="POS"/>
    <n v="67742"/>
    <s v="Unpaid"/>
    <s v="Yes"/>
  </r>
  <r>
    <s v="P034"/>
    <s v="Ngozi Eze"/>
    <n v="66"/>
    <s v="Female"/>
    <s v="Lagos"/>
    <s v="11/12/2023"/>
    <x v="0"/>
    <x v="0"/>
    <s v="Dental"/>
    <s v="Dr. Bello"/>
    <s v="Hypertension"/>
    <s v="Follow-Up"/>
    <s v="147/76"/>
    <n v="101"/>
    <n v="38.6"/>
    <n v="38.6"/>
    <n v="61.3"/>
    <n v="184"/>
    <n v="18.100000000000001"/>
    <s v="Cash"/>
    <n v="4634"/>
    <s v="Unpaid"/>
    <s v="Yes"/>
  </r>
  <r>
    <s v="P035"/>
    <s v="Obinna Igwe"/>
    <n v="67"/>
    <s v="Female"/>
    <s v="Abuja"/>
    <s v="12/21/2023"/>
    <x v="3"/>
    <x v="3"/>
    <s v="Cardiology"/>
    <s v="Dr. Ibrahim"/>
    <s v="Upper Respiratory Infection"/>
    <s v="Emergency"/>
    <s v="164/89"/>
    <n v="89"/>
    <n v="38.700000000000003"/>
    <n v="38.700000000000003"/>
    <n v="109.5"/>
    <n v="183"/>
    <n v="32.700000000000003"/>
    <s v="Cash"/>
    <n v="43851"/>
    <s v="Paid"/>
    <s v="No"/>
  </r>
  <r>
    <s v="P036"/>
    <s v="Patience Dike"/>
    <n v="7"/>
    <s v="Female"/>
    <s v="Delta"/>
    <s v="2/9/2023"/>
    <x v="2"/>
    <x v="2"/>
    <s v="Eye Clinic"/>
    <s v="Dr. Ibrahim"/>
    <s v="Upper Respiratory Infection"/>
    <s v="Routine Check-Up"/>
    <s v="131/73"/>
    <n v="64"/>
    <n v="38"/>
    <n v="38"/>
    <n v="49.9"/>
    <n v="181"/>
    <n v="15.2"/>
    <s v="HMO"/>
    <n v="50127"/>
    <s v="Paid"/>
    <s v="No"/>
  </r>
  <r>
    <s v="P037"/>
    <s v="Rotimi Afolabi"/>
    <n v="19"/>
    <s v="Female"/>
    <s v="Enugu"/>
    <s v="9/12/2023"/>
    <x v="6"/>
    <x v="6"/>
    <s v="Pediatrics"/>
    <s v="Dr. Ibrahim"/>
    <s v="Malaria"/>
    <s v="Follow-Up"/>
    <s v="105/91"/>
    <n v="103"/>
    <n v="37.6"/>
    <n v="37.6"/>
    <n v="61.1"/>
    <n v="157"/>
    <n v="24.8"/>
    <s v="POS"/>
    <n v="48083"/>
    <s v="Unpaid"/>
    <s v="No"/>
  </r>
  <r>
    <s v="P038"/>
    <s v="Suleiman Yusuf"/>
    <n v="20"/>
    <s v="Female"/>
    <s v="Lagos"/>
    <s v="6/16/2023"/>
    <x v="9"/>
    <x v="9"/>
    <s v="Diabetes Clinic"/>
    <s v="Dr. Ibrahim"/>
    <s v="Incomplete Record"/>
    <s v="Follow-Up"/>
    <s v="106/78"/>
    <n v="76"/>
    <n v="37.299999999999997"/>
    <n v="37.299999999999997"/>
    <n v="67.5"/>
    <n v="185"/>
    <n v="19.7"/>
    <s v="NHIS"/>
    <n v="50278"/>
    <s v="Unpaid"/>
    <s v="No"/>
  </r>
  <r>
    <s v="P039"/>
    <s v="Taiwo Ajayi"/>
    <n v="11"/>
    <s v="Female"/>
    <s v="Abuja"/>
    <s v="1/27/2023"/>
    <x v="5"/>
    <x v="5"/>
    <s v="Dental"/>
    <s v="Dr. Chukwu"/>
    <s v="Diabetes"/>
    <s v="Follow-Up"/>
    <s v="139/87"/>
    <n v="92"/>
    <n v="37.1"/>
    <n v="37.1"/>
    <n v="94.1"/>
    <n v="175"/>
    <n v="30.7"/>
    <s v="NHIS"/>
    <n v="109425"/>
    <s v="Pending"/>
    <s v="No"/>
  </r>
  <r>
    <s v="P040"/>
    <s v="Uche Okonkwo"/>
    <n v="75"/>
    <s v="Male"/>
    <s v="Abuja"/>
    <s v="1/26/2023"/>
    <x v="5"/>
    <x v="5"/>
    <s v="Dental"/>
    <s v="Dr. Ibrahim"/>
    <s v="Eye Infection"/>
    <s v="Follow-Up"/>
    <s v="141/91"/>
    <n v="63"/>
    <n v="39.200000000000003"/>
    <n v="39.200000000000003"/>
    <n v="78.5"/>
    <n v="158"/>
    <n v="31.4"/>
    <s v="POS"/>
    <n v="57377"/>
    <s v="Unpaid"/>
    <s v="No"/>
  </r>
  <r>
    <s v="P041"/>
    <s v="Amara Okafor"/>
    <n v="43"/>
    <s v="Female"/>
    <s v="Rivers"/>
    <s v="7/27/2023"/>
    <x v="1"/>
    <x v="1"/>
    <s v="Dental"/>
    <s v="Dr. Bello"/>
    <s v="Upper Respiratory Infection"/>
    <s v="Routine Check-Up"/>
    <s v="155/67"/>
    <n v="70"/>
    <n v="36.388888888888886"/>
    <n v="97.5"/>
    <n v="75"/>
    <n v="179"/>
    <n v="23.4"/>
    <s v="Bank Transfer"/>
    <n v="31839"/>
    <s v="Unpaid"/>
    <s v="No"/>
  </r>
  <r>
    <s v="P042"/>
    <s v="Bola Adeyemi"/>
    <n v="62"/>
    <s v="Female"/>
    <s v="Kano"/>
    <s v="10/8/2023"/>
    <x v="11"/>
    <x v="11"/>
    <s v="Cardiology"/>
    <s v="Dr. Bello"/>
    <s v="Hypertension"/>
    <s v="Follow-Up"/>
    <s v="148/95"/>
    <n v="65"/>
    <n v="37.1"/>
    <n v="37.1"/>
    <n v="65.8"/>
    <n v="184"/>
    <n v="19.399999999999999"/>
    <s v="Cash"/>
    <n v="119293"/>
    <s v="Paid"/>
    <s v="No"/>
  </r>
  <r>
    <s v="P043"/>
    <s v="Chidi Nwosu"/>
    <n v="54"/>
    <s v="Female"/>
    <s v="Enugu"/>
    <s v="7/12/2023"/>
    <x v="1"/>
    <x v="1"/>
    <s v="Diabetes Clinic"/>
    <s v="Dr. Chukwu"/>
    <s v="Malaria"/>
    <s v="Routine Check-Up"/>
    <s v="140/83"/>
    <n v="68"/>
    <n v="38.4"/>
    <n v="38.4"/>
    <n v="77"/>
    <n v="161"/>
    <n v="29.7"/>
    <s v="NHIS"/>
    <n v="38523"/>
    <s v="Paid"/>
    <s v="No"/>
  </r>
  <r>
    <s v="P044"/>
    <s v="Dupe Fashola"/>
    <n v="56"/>
    <s v="Female"/>
    <s v="Kaduna"/>
    <s v="6/9/2023"/>
    <x v="9"/>
    <x v="9"/>
    <s v="General OPD"/>
    <s v="Dr. Bello"/>
    <s v="Malaria"/>
    <s v="Routine Check-Up"/>
    <s v="165/91"/>
    <n v="60"/>
    <n v="36.299999999999997"/>
    <n v="36.299999999999997"/>
    <n v="105.1"/>
    <n v="181"/>
    <n v="32.1"/>
    <s v="POS"/>
    <n v="500"/>
    <s v="Paid"/>
    <s v="Yes"/>
  </r>
  <r>
    <s v="P045"/>
    <s v="Emeka Eze"/>
    <n v="24"/>
    <s v="Unknown"/>
    <s v="Abuja"/>
    <s v="12/25/2023"/>
    <x v="3"/>
    <x v="3"/>
    <s v="Dental"/>
    <s v="Dr. Ibrahim"/>
    <s v="Hypertension"/>
    <s v="First Visit"/>
    <s v="105/68"/>
    <n v="74"/>
    <n v="38"/>
    <n v="38"/>
    <n v="42.6"/>
    <n v="167"/>
    <n v="15.3"/>
    <s v="Cash"/>
    <n v="85113"/>
    <s v="Unpaid"/>
    <s v="No"/>
  </r>
  <r>
    <s v="P046"/>
    <s v="Fatima Bello"/>
    <n v="19"/>
    <s v="Male"/>
    <s v="Abuja"/>
    <s v="6/3/2023"/>
    <x v="9"/>
    <x v="9"/>
    <s v="Eye Clinic"/>
    <s v="Dr. Okafor"/>
    <s v="Typhoid Fever"/>
    <s v="Routine Check-Up"/>
    <s v="138/74"/>
    <n v="110"/>
    <n v="38.1"/>
    <n v="38.1"/>
    <n v="40.700000000000003"/>
    <n v="167"/>
    <n v="14.6"/>
    <s v="POS"/>
    <n v="39517"/>
    <s v="Unpaid"/>
    <s v="Yes"/>
  </r>
  <r>
    <s v="P047"/>
    <s v="Garba Musa"/>
    <n v="65"/>
    <s v="Male"/>
    <s v="Enugu"/>
    <s v="1/15/2023"/>
    <x v="5"/>
    <x v="5"/>
    <s v="Pediatrics"/>
    <s v="Dr. Chukwu"/>
    <s v="Malaria"/>
    <s v="First Visit"/>
    <s v="129/91"/>
    <n v="103"/>
    <n v="38.299999999999997"/>
    <n v="38.299999999999997"/>
    <n v="45.7"/>
    <n v="162"/>
    <n v="17.399999999999999"/>
    <s v="POS"/>
    <n v="0"/>
    <s v="Waived"/>
    <s v="No"/>
  </r>
  <r>
    <s v="P048"/>
    <s v="Hauwa Ibrahim"/>
    <n v="0"/>
    <s v="Female"/>
    <s v="Oyo"/>
    <s v="12/16/2023"/>
    <x v="3"/>
    <x v="3"/>
    <s v="Pediatrics"/>
    <s v="Dr. Bello"/>
    <s v="Malaria"/>
    <s v="Emergency"/>
    <s v="169/64"/>
    <n v="73"/>
    <n v="37.700000000000003"/>
    <n v="37.700000000000003"/>
    <n v="54"/>
    <n v="160"/>
    <n v="21.1"/>
    <s v="Cash"/>
    <n v="63963"/>
    <s v="Paid"/>
    <s v="No"/>
  </r>
  <r>
    <s v="P049"/>
    <s v="Ifeanyi Obi"/>
    <n v="42"/>
    <s v="Male"/>
    <s v="Delta"/>
    <s v="11/9/2023"/>
    <x v="0"/>
    <x v="0"/>
    <s v="Cardiology"/>
    <s v="Dr. Bello"/>
    <s v="Eye Infection"/>
    <s v="Routine Check-Up"/>
    <s v="112/69"/>
    <n v="85"/>
    <n v="36.200000000000003"/>
    <n v="36.200000000000003"/>
    <n v="41.7"/>
    <n v="186"/>
    <n v="12.1"/>
    <s v="Cash"/>
    <n v="57445"/>
    <s v="Paid"/>
    <s v="Yes"/>
  </r>
  <r>
    <s v="P052"/>
    <s v="Lola Adeleke"/>
    <n v="11"/>
    <s v="Female"/>
    <s v="Enugu"/>
    <s v="7/10/2023"/>
    <x v="1"/>
    <x v="1"/>
    <s v="Eye Clinic"/>
    <s v="Dr. Ibrahim"/>
    <s v="Typhoid Fever"/>
    <s v="Emergency"/>
    <s v="151/90"/>
    <n v="61"/>
    <n v="38.200000000000003"/>
    <n v="38.200000000000003"/>
    <n v="57.4"/>
    <n v="188"/>
    <n v="16.2"/>
    <s v="POS"/>
    <n v="8328"/>
    <s v="Unpaid"/>
    <s v="Yes"/>
  </r>
  <r>
    <s v="P053"/>
    <s v="Musa Dangote"/>
    <n v="64"/>
    <s v="Male"/>
    <s v="Lagos"/>
    <s v="5/12/2023"/>
    <x v="4"/>
    <x v="4"/>
    <s v="Cardiology"/>
    <s v="Dr. Adeyemi"/>
    <s v="Asthma"/>
    <s v="Emergency"/>
    <s v="151/77"/>
    <n v="81"/>
    <n v="39.4"/>
    <n v="39.4"/>
    <n v="83.2"/>
    <n v="164"/>
    <n v="30.9"/>
    <s v="HMO"/>
    <n v="39127"/>
    <s v="Unpaid"/>
    <s v="Yes"/>
  </r>
  <r>
    <s v="P054"/>
    <s v="Ngozi Eze"/>
    <n v="13"/>
    <s v="Male"/>
    <s v="Enugu"/>
    <s v="2/24/2023"/>
    <x v="2"/>
    <x v="2"/>
    <s v="Pediatrics"/>
    <s v="Dr. Ibrahim"/>
    <s v="Gastroenteritis"/>
    <s v="Emergency"/>
    <s v="160/91"/>
    <n v="68"/>
    <n v="39.200000000000003"/>
    <n v="39.200000000000003"/>
    <n v="52.8"/>
    <n v="167"/>
    <n v="18.899999999999999"/>
    <s v="Cash"/>
    <n v="82594"/>
    <s v="Paid"/>
    <s v="No"/>
  </r>
  <r>
    <s v="P055"/>
    <s v="Obinna Igwe"/>
    <n v="45"/>
    <s v="Female"/>
    <s v="Oyo"/>
    <s v="11/2/2023"/>
    <x v="0"/>
    <x v="0"/>
    <s v="General OPD"/>
    <s v="Dr. Okafor"/>
    <s v="Typhoid Fever"/>
    <s v="Routine Check-Up"/>
    <s v="125/75"/>
    <n v="86"/>
    <n v="36.200000000000003"/>
    <n v="36.200000000000003"/>
    <n v="42.4"/>
    <n v="183"/>
    <n v="12.7"/>
    <s v="Bank Transfer"/>
    <n v="45697"/>
    <s v="Paid"/>
    <s v="No"/>
  </r>
  <r>
    <s v="P056"/>
    <s v="Patience Dike"/>
    <n v="18"/>
    <s v="Male"/>
    <s v="Rivers"/>
    <s v="11/16/2023"/>
    <x v="0"/>
    <x v="0"/>
    <s v="General OPD"/>
    <s v="Dr. Bello"/>
    <s v="Hypertension"/>
    <s v="Routine Check-Up"/>
    <s v="168/88"/>
    <n v="71"/>
    <n v="36.799999999999997"/>
    <n v="36.799999999999997"/>
    <n v="69.2"/>
    <n v="187"/>
    <n v="19.8"/>
    <s v="Cash"/>
    <n v="101038"/>
    <s v="Pending"/>
    <s v="Yes"/>
  </r>
  <r>
    <s v="P057"/>
    <s v="Rotimi Afolabi"/>
    <n v="42"/>
    <s v="Female"/>
    <s v="Rivers"/>
    <s v="10/18/2023"/>
    <x v="11"/>
    <x v="11"/>
    <s v="Diabetes Clinic"/>
    <s v="Dr. Chukwu"/>
    <s v="Upper Respiratory Infection"/>
    <s v="Emergency"/>
    <s v="130/88"/>
    <n v="75"/>
    <n v="36.700000000000003"/>
    <n v="36.700000000000003"/>
    <n v="56.5"/>
    <n v="166"/>
    <n v="20.5"/>
    <s v="Bank Transfer"/>
    <n v="27674"/>
    <s v="Unpaid"/>
    <s v="Yes"/>
  </r>
  <r>
    <s v="P058"/>
    <s v="Suleiman Yusuf"/>
    <n v="55"/>
    <s v="Female"/>
    <s v="Enugu"/>
    <s v="9/17/2023"/>
    <x v="6"/>
    <x v="6"/>
    <s v="Eye Clinic"/>
    <s v="Dr. Bello"/>
    <s v="Incomplete Record"/>
    <s v="Routine Check-Up"/>
    <s v="109/66"/>
    <n v="60"/>
    <n v="37.700000000000003"/>
    <n v="37.700000000000003"/>
    <n v="97.3"/>
    <n v="176"/>
    <n v="31.4"/>
    <s v="HMO"/>
    <n v="8290"/>
    <s v="Unpaid"/>
    <s v="Yes"/>
  </r>
  <r>
    <s v="P059"/>
    <s v="Taiwo Ajayi"/>
    <n v="20"/>
    <s v="Male"/>
    <s v="Enugu"/>
    <s v="11/4/2023"/>
    <x v="0"/>
    <x v="0"/>
    <s v="Eye Clinic"/>
    <s v="Dr. Bello"/>
    <s v="Hypertension"/>
    <s v="Emergency"/>
    <s v="170/71"/>
    <n v="88"/>
    <n v="38.1"/>
    <n v="38.1"/>
    <n v="94.2"/>
    <n v="190"/>
    <n v="26.1"/>
    <s v="NHIS"/>
    <n v="16864"/>
    <s v="Pending"/>
    <s v="No"/>
  </r>
  <r>
    <s v="P060"/>
    <s v="Uche Okonkwo"/>
    <n v="32"/>
    <s v="Male"/>
    <s v="Oyo"/>
    <s v="3/14/2023"/>
    <x v="10"/>
    <x v="10"/>
    <s v="General OPD"/>
    <s v="Dr. Bello"/>
    <s v="Upper Respiratory Infection"/>
    <s v="First Visit"/>
    <s v="131/60"/>
    <n v="80"/>
    <n v="37.4"/>
    <n v="37.4"/>
    <n v="66"/>
    <n v="187"/>
    <n v="18.899999999999999"/>
    <s v="HMO"/>
    <n v="13215"/>
    <s v="Paid"/>
    <s v="Yes"/>
  </r>
  <r>
    <s v="P061"/>
    <s v="Amara Okafor"/>
    <n v="68"/>
    <s v="Female"/>
    <s v="Abuja"/>
    <s v="7/28/2023"/>
    <x v="1"/>
    <x v="1"/>
    <s v="General OPD"/>
    <s v="Dr. Ibrahim"/>
    <s v="Dental Caries"/>
    <s v="Follow-Up"/>
    <s v="173/65"/>
    <n v="101"/>
    <n v="38.833333333333336"/>
    <n v="101.9"/>
    <n v="68.7"/>
    <n v="166"/>
    <n v="24.9"/>
    <s v="HMO"/>
    <n v="57767"/>
    <s v="Paid"/>
    <s v="No"/>
  </r>
  <r>
    <s v="P062"/>
    <s v="Bola Adeyemi"/>
    <n v="50"/>
    <s v="Female"/>
    <s v="Kaduna"/>
    <s v="1/10/2023"/>
    <x v="5"/>
    <x v="5"/>
    <s v="Diabetes Clinic"/>
    <s v="Dr. Bello"/>
    <s v="Gastroenteritis"/>
    <s v="Routine Check-Up"/>
    <s v="131/60"/>
    <n v="87"/>
    <n v="39.200000000000003"/>
    <n v="39.200000000000003"/>
    <n v="69.7"/>
    <n v="153"/>
    <n v="29.8"/>
    <s v="POS"/>
    <n v="78732"/>
    <s v="Unpaid"/>
    <s v="No"/>
  </r>
  <r>
    <s v="P063"/>
    <s v="Chidi Nwosu"/>
    <n v="25"/>
    <s v="Male"/>
    <s v="Lagos"/>
    <s v="1/27/2023"/>
    <x v="5"/>
    <x v="5"/>
    <s v="Eye Clinic"/>
    <s v="Dr. Bello"/>
    <s v="Gastroenteritis"/>
    <s v="First Visit"/>
    <s v="152/92"/>
    <n v="70"/>
    <n v="36.5"/>
    <n v="36.5"/>
    <n v="59.8"/>
    <n v="181"/>
    <n v="18.3"/>
    <s v="Cash"/>
    <n v="11794"/>
    <s v="Paid"/>
    <s v="No"/>
  </r>
  <r>
    <s v="P064"/>
    <s v="Dupe Fashola"/>
    <n v="67"/>
    <s v="Male"/>
    <s v="Rivers"/>
    <s v="3/6/2023"/>
    <x v="10"/>
    <x v="10"/>
    <s v="General OPD"/>
    <s v="Dr. Ibrahim"/>
    <s v="Anaemia"/>
    <s v="First Visit"/>
    <s v="154/65"/>
    <n v="105"/>
    <n v="38.200000000000003"/>
    <n v="38.200000000000003"/>
    <n v="97.7"/>
    <n v="158"/>
    <n v="39.1"/>
    <s v="Cash"/>
    <n v="2000"/>
    <s v="Pending"/>
    <s v="Yes"/>
  </r>
  <r>
    <s v="P065"/>
    <s v="Emeka Eze"/>
    <n v="65"/>
    <s v="Unknown"/>
    <s v="Enugu"/>
    <s v="1/22/2023"/>
    <x v="5"/>
    <x v="5"/>
    <s v="Pediatrics"/>
    <s v="Dr. Okafor"/>
    <s v="Diabetes"/>
    <s v="Routine Check-Up"/>
    <s v="150/67"/>
    <n v="69"/>
    <n v="36.9"/>
    <n v="36.9"/>
    <n v="90.7"/>
    <n v="160"/>
    <n v="35.4"/>
    <s v="NHIS"/>
    <n v="118849"/>
    <s v="Pending"/>
    <s v="Yes"/>
  </r>
  <r>
    <s v="P066"/>
    <s v="Fatima Bello"/>
    <n v="46"/>
    <s v="Male"/>
    <s v="Kaduna"/>
    <s v="11/3/2023"/>
    <x v="0"/>
    <x v="0"/>
    <s v="Pediatrics"/>
    <s v="Dr. Okafor"/>
    <s v="Upper Respiratory Infection"/>
    <s v="Routine Check-Up"/>
    <s v="144/75"/>
    <n v="87"/>
    <n v="37.4"/>
    <n v="37.4"/>
    <n v="65.7"/>
    <n v="180"/>
    <n v="20.3"/>
    <s v="POS"/>
    <n v="26430"/>
    <s v="Paid"/>
    <s v="Yes"/>
  </r>
  <r>
    <s v="P067"/>
    <s v="Garba Musa"/>
    <n v="67"/>
    <s v="Female"/>
    <s v="Enugu"/>
    <s v="8/17/2023"/>
    <x v="8"/>
    <x v="8"/>
    <s v="Eye Clinic"/>
    <s v="Dr. Ibrahim"/>
    <s v="Diabetes"/>
    <s v="Routine Check-Up"/>
    <s v="156/66"/>
    <n v="64"/>
    <n v="36.4"/>
    <n v="36.4"/>
    <n v="70.099999999999994"/>
    <n v="153"/>
    <n v="29.9"/>
    <s v="POS"/>
    <n v="0"/>
    <s v="Waived"/>
    <s v="Yes"/>
  </r>
  <r>
    <s v="P068"/>
    <s v="Hauwa Ibrahim"/>
    <n v="10"/>
    <s v="Male"/>
    <s v="Oyo"/>
    <s v="9/19/2023"/>
    <x v="6"/>
    <x v="6"/>
    <s v="General OPD"/>
    <s v="Dr. Adeyemi"/>
    <s v="Dental Caries"/>
    <s v="Routine Check-Up"/>
    <s v="122/61"/>
    <n v="64"/>
    <n v="39.5"/>
    <n v="39.5"/>
    <n v="91.2"/>
    <n v="155"/>
    <n v="38"/>
    <s v="Cash"/>
    <n v="20251"/>
    <s v="Unpaid"/>
    <s v="No"/>
  </r>
  <r>
    <s v="P069"/>
    <s v="Ifeanyi Obi"/>
    <n v="26"/>
    <s v="Male"/>
    <s v="Abuja"/>
    <s v="6/29/2023"/>
    <x v="9"/>
    <x v="9"/>
    <s v="Eye Clinic"/>
    <s v="Dr. Chukwu"/>
    <s v="Diabetes"/>
    <s v="Emergency"/>
    <s v="140/89"/>
    <n v="69"/>
    <n v="36.9"/>
    <n v="36.9"/>
    <n v="107.5"/>
    <n v="178"/>
    <n v="33.9"/>
    <s v="Cash"/>
    <n v="80579"/>
    <s v="Unpaid"/>
    <s v="Yes"/>
  </r>
  <r>
    <s v="P070"/>
    <s v="Jumoke Lawal"/>
    <n v="45"/>
    <s v="Female"/>
    <s v="Lagos"/>
    <s v="4/12/2023"/>
    <x v="7"/>
    <x v="7"/>
    <s v="Cardiology"/>
    <s v="Dr. Ibrahim"/>
    <s v="Diabetes"/>
    <s v="Emergency"/>
    <s v="146/84"/>
    <n v="70"/>
    <n v="38.799999999999997"/>
    <n v="38.799999999999997"/>
    <n v="58.5"/>
    <n v="181"/>
    <n v="17.899999999999999"/>
    <s v="NHIS"/>
    <n v="86403"/>
    <s v="Unpaid"/>
    <s v="No"/>
  </r>
  <r>
    <s v="P072"/>
    <s v="Lola Adeleke"/>
    <n v="42"/>
    <s v="Female"/>
    <s v="Rivers"/>
    <s v="11/24/2023"/>
    <x v="0"/>
    <x v="0"/>
    <s v="Eye Clinic"/>
    <s v="Dr. Chukwu"/>
    <s v="Malaria"/>
    <s v="First Visit"/>
    <s v="133/69"/>
    <n v="78"/>
    <n v="38.200000000000003"/>
    <n v="38.200000000000003"/>
    <n v="70.3"/>
    <n v="180"/>
    <n v="21.7"/>
    <s v="HMO"/>
    <n v="9262"/>
    <s v="Paid"/>
    <s v="No"/>
  </r>
  <r>
    <s v="P073"/>
    <s v="Musa Dangote"/>
    <n v="34"/>
    <s v="Male"/>
    <s v="Lagos"/>
    <s v="1/28/2023"/>
    <x v="5"/>
    <x v="5"/>
    <s v="General OPD"/>
    <s v="Dr. Okafor"/>
    <s v="Anaemia"/>
    <s v="Emergency"/>
    <s v="118/93"/>
    <n v="82"/>
    <n v="37.9"/>
    <n v="37.9"/>
    <n v="68.900000000000006"/>
    <n v="167"/>
    <n v="24.7"/>
    <s v="Bank Transfer"/>
    <n v="20527"/>
    <s v="Paid"/>
    <s v="No"/>
  </r>
  <r>
    <s v="P074"/>
    <s v="Ngozi Eze"/>
    <n v="65"/>
    <s v="Male"/>
    <s v="Kano"/>
    <s v="1/8/2023"/>
    <x v="5"/>
    <x v="5"/>
    <s v="Cardiology"/>
    <s v="Dr. Bello"/>
    <s v="Eye Infection"/>
    <s v="First Visit"/>
    <s v="113/69"/>
    <n v="102"/>
    <n v="38.700000000000003"/>
    <n v="38.700000000000003"/>
    <n v="68.099999999999994"/>
    <n v="164"/>
    <n v="25.3"/>
    <s v="NHIS"/>
    <n v="10357"/>
    <s v="Pending"/>
    <s v="No"/>
  </r>
  <r>
    <s v="P075"/>
    <s v="Obinna Igwe"/>
    <n v="61"/>
    <s v="Female"/>
    <s v="Enugu"/>
    <s v="3/26/2023"/>
    <x v="10"/>
    <x v="10"/>
    <s v="General OPD"/>
    <s v="Dr. Adeyemi"/>
    <s v="Malaria"/>
    <s v="First Visit"/>
    <s v="156/71"/>
    <n v="75"/>
    <n v="36.6"/>
    <n v="36.6"/>
    <n v="103.8"/>
    <n v="154"/>
    <n v="43.8"/>
    <s v="NHIS"/>
    <n v="83299"/>
    <s v="Pending"/>
    <s v="Yes"/>
  </r>
  <r>
    <s v="P076"/>
    <s v="Patience Dike"/>
    <n v="23"/>
    <s v="Female"/>
    <s v="Enugu"/>
    <s v="9/23/2023"/>
    <x v="6"/>
    <x v="6"/>
    <s v="Eye Clinic"/>
    <s v="Dr. Okafor"/>
    <s v="Gastroenteritis"/>
    <s v="Follow-Up"/>
    <s v="170/79"/>
    <n v="64"/>
    <n v="37.1"/>
    <n v="37.1"/>
    <n v="43.4"/>
    <n v="178"/>
    <n v="13.7"/>
    <s v="Bank Transfer"/>
    <n v="3832"/>
    <s v="Unpaid"/>
    <s v="No"/>
  </r>
  <r>
    <s v="P077"/>
    <s v="Rotimi Afolabi"/>
    <n v="64"/>
    <s v="Male"/>
    <s v="Delta"/>
    <s v="3/31/2023"/>
    <x v="10"/>
    <x v="10"/>
    <s v="Cardiology"/>
    <s v="Dr. Adeyemi"/>
    <s v="Upper Respiratory Infection"/>
    <s v="Follow-Up"/>
    <s v="109/67"/>
    <n v="81"/>
    <n v="39.1"/>
    <n v="39.1"/>
    <n v="104.8"/>
    <n v="164"/>
    <n v="39"/>
    <s v="NHIS"/>
    <n v="37863"/>
    <s v="Pending"/>
    <s v="No"/>
  </r>
  <r>
    <s v="P078"/>
    <s v="Suleiman Yusuf"/>
    <n v="71"/>
    <s v="Female"/>
    <s v="Rivers"/>
    <s v="11/25/2023"/>
    <x v="0"/>
    <x v="0"/>
    <s v="Cardiology"/>
    <s v="Dr. Adeyemi"/>
    <s v="Incomplete Record"/>
    <s v="First Visit"/>
    <s v="126/76"/>
    <n v="75"/>
    <n v="38.9"/>
    <n v="38.9"/>
    <n v="54.2"/>
    <n v="158"/>
    <n v="21.7"/>
    <s v="HMO"/>
    <n v="28157"/>
    <s v="Unpaid"/>
    <s v="No"/>
  </r>
  <r>
    <s v="P079"/>
    <s v="Taiwo Ajayi"/>
    <n v="35"/>
    <s v="Female"/>
    <s v="Delta"/>
    <s v="8/30/2023"/>
    <x v="8"/>
    <x v="8"/>
    <s v="Eye Clinic"/>
    <s v="Dr. Adeyemi"/>
    <s v="Malaria"/>
    <s v="Routine Check-Up"/>
    <s v="134/79"/>
    <n v="110"/>
    <n v="36.700000000000003"/>
    <n v="36.700000000000003"/>
    <n v="83.6"/>
    <n v="152"/>
    <n v="36.200000000000003"/>
    <s v="Bank Transfer"/>
    <n v="25484"/>
    <s v="Paid"/>
    <s v="Yes"/>
  </r>
  <r>
    <s v="P080"/>
    <s v="Uche Okonkwo"/>
    <n v="8"/>
    <s v="Male"/>
    <s v="Kano"/>
    <s v="6/26/2023"/>
    <x v="9"/>
    <x v="9"/>
    <s v="Cardiology"/>
    <s v="Dr. Adeyemi"/>
    <s v="Malaria"/>
    <s v="First Visit"/>
    <s v="122/62"/>
    <n v="104"/>
    <n v="36.200000000000003"/>
    <n v="36.200000000000003"/>
    <n v="43.3"/>
    <n v="185"/>
    <n v="12.7"/>
    <s v="HMO"/>
    <n v="29124"/>
    <s v="Pending"/>
    <s v="Yes"/>
  </r>
  <r>
    <s v="P081"/>
    <s v="Amara Okafor"/>
    <n v="54"/>
    <s v="Male"/>
    <s v="Enugu"/>
    <s v="4/16/2023"/>
    <x v="7"/>
    <x v="7"/>
    <s v="Cardiology"/>
    <s v="Dr. Adeyemi"/>
    <s v="Malaria"/>
    <s v="First Visit"/>
    <s v="116/78"/>
    <n v="90"/>
    <n v="36.5"/>
    <n v="97.7"/>
    <n v="93"/>
    <n v="161"/>
    <n v="35.9"/>
    <s v="HMO"/>
    <n v="44830"/>
    <s v="Unpaid"/>
    <s v="No"/>
  </r>
  <r>
    <s v="P082"/>
    <s v="Bola Adeyemi"/>
    <n v="38"/>
    <s v="Male"/>
    <s v="Oyo"/>
    <s v="5/12/2023"/>
    <x v="4"/>
    <x v="4"/>
    <s v="Diabetes Clinic"/>
    <s v="Dr. Adeyemi"/>
    <s v="Anaemia"/>
    <s v="Emergency"/>
    <s v="169/90"/>
    <n v="78"/>
    <n v="38.200000000000003"/>
    <n v="38.200000000000003"/>
    <n v="42.2"/>
    <n v="174"/>
    <n v="13.9"/>
    <s v="NHIS"/>
    <n v="60206"/>
    <s v="Pending"/>
    <s v="Yes"/>
  </r>
  <r>
    <s v="P083"/>
    <s v="Chidi Nwosu"/>
    <n v="49"/>
    <s v="Female"/>
    <s v="Lagos"/>
    <s v="10/3/2023"/>
    <x v="11"/>
    <x v="11"/>
    <s v="Eye Clinic"/>
    <s v="Dr. Bello"/>
    <s v="Hypertension"/>
    <s v="Emergency"/>
    <s v="126/87"/>
    <n v="60"/>
    <n v="37.799999999999997"/>
    <n v="37.799999999999997"/>
    <n v="60.2"/>
    <n v="151"/>
    <n v="26.4"/>
    <s v="NHIS"/>
    <n v="48587"/>
    <s v="Unpaid"/>
    <s v="Yes"/>
  </r>
  <r>
    <s v="P084"/>
    <s v="Dupe Fashola"/>
    <n v="67"/>
    <s v="Male"/>
    <s v="Delta"/>
    <s v="10/31/2023"/>
    <x v="11"/>
    <x v="11"/>
    <s v="Diabetes Clinic"/>
    <s v="Dr. Okafor"/>
    <s v="Upper Respiratory Infection"/>
    <s v="Follow-Up"/>
    <s v="141/73"/>
    <n v="104"/>
    <n v="36.799999999999997"/>
    <n v="36.799999999999997"/>
    <n v="51.6"/>
    <n v="188"/>
    <n v="14.6"/>
    <s v="NHIS"/>
    <n v="15000"/>
    <s v="Pending"/>
    <s v="Yes"/>
  </r>
  <r>
    <s v="P085"/>
    <s v="Emeka Eze"/>
    <n v="46"/>
    <s v="Unknown"/>
    <s v="Abuja"/>
    <s v="7/25/2023"/>
    <x v="1"/>
    <x v="1"/>
    <s v="Pediatrics"/>
    <s v="Dr. Adeyemi"/>
    <s v="Gastroenteritis"/>
    <s v="First Visit"/>
    <s v="152/73"/>
    <n v="79"/>
    <n v="36.9"/>
    <n v="36.9"/>
    <n v="103.1"/>
    <n v="180"/>
    <n v="31.8"/>
    <s v="Cash"/>
    <n v="52716"/>
    <s v="Pending"/>
    <s v="Yes"/>
  </r>
  <r>
    <s v="P086"/>
    <s v="Fatima Bello"/>
    <n v="63"/>
    <s v="Male"/>
    <s v="Lagos"/>
    <s v="6/28/2023"/>
    <x v="9"/>
    <x v="9"/>
    <s v="Eye Clinic"/>
    <s v="Dr. Chukwu"/>
    <s v="Dental Caries"/>
    <s v="Follow-Up"/>
    <s v="162/95"/>
    <n v="107"/>
    <n v="37.1"/>
    <n v="37.1"/>
    <n v="72.400000000000006"/>
    <n v="192"/>
    <n v="19.600000000000001"/>
    <s v="HMO"/>
    <n v="78912"/>
    <s v="Paid"/>
    <s v="Yes"/>
  </r>
  <r>
    <s v="P087"/>
    <s v="Garba Musa"/>
    <n v="47"/>
    <s v="Female"/>
    <s v="Enugu"/>
    <s v="9/17/2023"/>
    <x v="6"/>
    <x v="6"/>
    <s v="Cardiology"/>
    <s v="Dr. Chukwu"/>
    <s v="Upper Respiratory Infection"/>
    <s v="Follow-Up"/>
    <s v="124/75"/>
    <n v="106"/>
    <n v="37.1"/>
    <n v="37.1"/>
    <n v="76.599999999999994"/>
    <n v="158"/>
    <n v="30.7"/>
    <s v="Cash"/>
    <n v="0"/>
    <s v="Waived"/>
    <s v="No"/>
  </r>
  <r>
    <s v="P088"/>
    <s v="Hauwa Ibrahim"/>
    <n v="10"/>
    <s v="Male"/>
    <s v="Enugu"/>
    <s v="7/16/2023"/>
    <x v="1"/>
    <x v="1"/>
    <s v="Cardiology"/>
    <s v="Dr. Bello"/>
    <s v="Upper Respiratory Infection"/>
    <s v="Emergency"/>
    <s v="160/77"/>
    <n v="72"/>
    <n v="36.4"/>
    <n v="36.4"/>
    <n v="103.8"/>
    <n v="165"/>
    <n v="38.1"/>
    <s v="Cash"/>
    <n v="119031"/>
    <s v="Unpaid"/>
    <s v="No"/>
  </r>
  <r>
    <s v="P089"/>
    <s v="Ifeanyi Obi"/>
    <n v="9"/>
    <s v="Male"/>
    <s v="Kaduna"/>
    <s v="8/12/2023"/>
    <x v="8"/>
    <x v="8"/>
    <s v="Dental"/>
    <s v="Dr. Bello"/>
    <s v="Dental Caries"/>
    <s v="Emergency"/>
    <s v="164/61"/>
    <n v="69"/>
    <n v="36.9"/>
    <n v="36.9"/>
    <n v="91.7"/>
    <n v="148"/>
    <n v="41.9"/>
    <s v="Cash"/>
    <n v="114790"/>
    <s v="Unpaid"/>
    <s v="No"/>
  </r>
  <r>
    <s v="P090"/>
    <s v="Jumoke Lawal"/>
    <n v="34"/>
    <s v="Male"/>
    <s v="Kano"/>
    <s v="11/25/2023"/>
    <x v="0"/>
    <x v="0"/>
    <s v="General OPD"/>
    <s v="Dr. Ibrahim"/>
    <s v="Gastroenteritis"/>
    <s v="Emergency"/>
    <s v="138/66"/>
    <n v="86"/>
    <n v="36.799999999999997"/>
    <n v="36.799999999999997"/>
    <n v="68"/>
    <n v="188"/>
    <n v="19.2"/>
    <s v="Cash"/>
    <n v="35775"/>
    <s v="Unpaid"/>
    <s v="No"/>
  </r>
  <r>
    <s v="P092"/>
    <s v="Lola Adeleke"/>
    <n v="74"/>
    <s v="Male"/>
    <s v="Delta"/>
    <s v="9/20/2023"/>
    <x v="6"/>
    <x v="6"/>
    <s v="General OPD"/>
    <s v="Dr. Chukwu"/>
    <s v="Dental Caries"/>
    <s v="Emergency"/>
    <s v="157/89"/>
    <n v="73"/>
    <n v="39.5"/>
    <n v="39.5"/>
    <n v="52.9"/>
    <n v="180"/>
    <n v="16.3"/>
    <s v="NHIS"/>
    <n v="98565"/>
    <s v="Pending"/>
    <s v="No"/>
  </r>
  <r>
    <s v="P093"/>
    <s v="Musa Dangote"/>
    <n v="12"/>
    <s v="Female"/>
    <s v="Rivers"/>
    <s v="7/15/2023"/>
    <x v="1"/>
    <x v="1"/>
    <s v="Pediatrics"/>
    <s v="Dr. Adeyemi"/>
    <s v="Malaria"/>
    <s v="First Visit"/>
    <s v="158/86"/>
    <n v="100"/>
    <n v="38.4"/>
    <n v="38.4"/>
    <n v="64.599999999999994"/>
    <n v="164"/>
    <n v="24"/>
    <s v="NHIS"/>
    <n v="32416"/>
    <s v="Unpaid"/>
    <s v="No"/>
  </r>
  <r>
    <s v="P094"/>
    <s v="Ngozi Eze"/>
    <n v="72"/>
    <s v="Male"/>
    <s v="Kaduna"/>
    <s v="8/25/2023"/>
    <x v="8"/>
    <x v="8"/>
    <s v="Cardiology"/>
    <s v="Dr. Bello"/>
    <s v="Diabetes"/>
    <s v="First Visit"/>
    <s v="129/90"/>
    <n v="101"/>
    <n v="38"/>
    <n v="38"/>
    <n v="55.8"/>
    <n v="157"/>
    <n v="22.6"/>
    <s v="HMO"/>
    <n v="90298"/>
    <s v="Pending"/>
    <s v="No"/>
  </r>
  <r>
    <s v="P095"/>
    <s v="Obinna Igwe"/>
    <n v="64"/>
    <s v="Female"/>
    <s v="Kano"/>
    <s v="8/29/2023"/>
    <x v="8"/>
    <x v="8"/>
    <s v="Diabetes Clinic"/>
    <s v="Dr. Bello"/>
    <s v="Upper Respiratory Infection"/>
    <s v="Routine Check-Up"/>
    <s v="137/87"/>
    <n v="103"/>
    <n v="36.700000000000003"/>
    <n v="36.700000000000003"/>
    <n v="40.200000000000003"/>
    <n v="165"/>
    <n v="14.8"/>
    <s v="HMO"/>
    <n v="35108"/>
    <s v="Pending"/>
    <s v="No"/>
  </r>
  <r>
    <s v="P096"/>
    <s v="Patience Dike"/>
    <n v="46"/>
    <s v="Female"/>
    <s v="Delta"/>
    <s v="8/8/2023"/>
    <x v="8"/>
    <x v="8"/>
    <s v="Eye Clinic"/>
    <s v="Dr. Adeyemi"/>
    <s v="Anaemia"/>
    <s v="Follow-Up"/>
    <s v="143/84"/>
    <n v="63"/>
    <n v="36.299999999999997"/>
    <n v="36.299999999999997"/>
    <n v="79.5"/>
    <n v="168"/>
    <n v="28.2"/>
    <s v="Cash"/>
    <n v="72553"/>
    <s v="Unpaid"/>
    <s v="Yes"/>
  </r>
  <r>
    <s v="P097"/>
    <s v="Rotimi Afolabi"/>
    <n v="6"/>
    <s v="Male"/>
    <s v="Abuja"/>
    <s v="12/2/2023"/>
    <x v="3"/>
    <x v="3"/>
    <s v="Diabetes Clinic"/>
    <s v="Dr. Chukwu"/>
    <s v="Asthma"/>
    <s v="First Visit"/>
    <s v="123/74"/>
    <n v="71"/>
    <n v="38.700000000000003"/>
    <n v="38.700000000000003"/>
    <n v="64.3"/>
    <n v="157"/>
    <n v="26.1"/>
    <s v="Cash"/>
    <n v="55754"/>
    <s v="Pending"/>
    <s v="Yes"/>
  </r>
  <r>
    <s v="P098"/>
    <s v="Suleiman Yusuf"/>
    <n v="16"/>
    <s v="Female"/>
    <s v="Enugu"/>
    <s v="9/11/2023"/>
    <x v="6"/>
    <x v="6"/>
    <s v="Dental"/>
    <s v="Dr. Bello"/>
    <s v="Incomplete Record"/>
    <s v="First Visit"/>
    <s v="161/67"/>
    <n v="95"/>
    <n v="36.4"/>
    <n v="36.4"/>
    <n v="69.3"/>
    <n v="156"/>
    <n v="28.5"/>
    <s v="POS"/>
    <n v="67628"/>
    <s v="Pending"/>
    <s v="Yes"/>
  </r>
  <r>
    <s v="P099"/>
    <s v="Taiwo Ajayi"/>
    <n v="66"/>
    <s v="Female"/>
    <s v="Kano"/>
    <s v="12/25/2023"/>
    <x v="3"/>
    <x v="3"/>
    <s v="Pediatrics"/>
    <s v="Dr. Bello"/>
    <s v="Eye Infection"/>
    <s v="Follow-Up"/>
    <s v="174/60"/>
    <n v="70"/>
    <n v="38.9"/>
    <n v="38.9"/>
    <n v="72.8"/>
    <n v="184"/>
    <n v="21.5"/>
    <s v="POS"/>
    <n v="90202"/>
    <s v="Unpaid"/>
    <s v="No"/>
  </r>
  <r>
    <s v="P100"/>
    <s v="Uche Okonkwo"/>
    <n v="52"/>
    <s v="Female"/>
    <s v="Abuja"/>
    <s v="4/3/2023"/>
    <x v="7"/>
    <x v="7"/>
    <s v="Dental"/>
    <s v="Dr. Chukwu"/>
    <s v="Malaria"/>
    <s v="First Visit"/>
    <s v="110/81"/>
    <n v="66"/>
    <n v="37.799999999999997"/>
    <n v="37.799999999999997"/>
    <n v="73.900000000000006"/>
    <n v="157"/>
    <n v="30"/>
    <s v="NHIS"/>
    <n v="30965"/>
    <s v="Pending"/>
    <s v="No"/>
  </r>
  <r>
    <s v="P101"/>
    <s v="Amara Okafor"/>
    <n v="21"/>
    <s v="Female"/>
    <s v="Abuja"/>
    <s v="12/4/2023"/>
    <x v="3"/>
    <x v="3"/>
    <s v="Diabetes Clinic"/>
    <s v="Dr. Chukwu"/>
    <s v="Eye Infection"/>
    <s v="Follow-Up"/>
    <s v="141/87"/>
    <n v="81"/>
    <n v="38.277777777777779"/>
    <n v="100.9"/>
    <n v="97.9"/>
    <n v="166"/>
    <n v="35.5"/>
    <s v="HMO"/>
    <n v="111492"/>
    <s v="Unpaid"/>
    <s v="No"/>
  </r>
  <r>
    <s v="P102"/>
    <s v="Bola Adeyemi"/>
    <n v="47"/>
    <s v="Female"/>
    <s v="Oyo"/>
    <s v="4/15/2023"/>
    <x v="7"/>
    <x v="7"/>
    <s v="Dental"/>
    <s v="Dr. Ibrahim"/>
    <s v="Hypertension"/>
    <s v="Emergency"/>
    <s v="129/80"/>
    <n v="105"/>
    <n v="37"/>
    <n v="37"/>
    <n v="81.099999999999994"/>
    <n v="188"/>
    <n v="22.9"/>
    <s v="NHIS"/>
    <n v="105788"/>
    <s v="Paid"/>
    <s v="No"/>
  </r>
  <r>
    <s v="P103"/>
    <s v="Chidi Nwosu"/>
    <n v="75"/>
    <s v="Female"/>
    <s v="Lagos"/>
    <s v="7/24/2023"/>
    <x v="1"/>
    <x v="1"/>
    <s v="Diabetes Clinic"/>
    <s v="Dr. Adeyemi"/>
    <s v="Malaria"/>
    <s v="First Visit"/>
    <s v="129/90"/>
    <n v="98"/>
    <n v="38.700000000000003"/>
    <n v="38.700000000000003"/>
    <n v="44.2"/>
    <n v="180"/>
    <n v="13.6"/>
    <s v="Bank Transfer"/>
    <n v="83181"/>
    <s v="Unpaid"/>
    <s v="Yes"/>
  </r>
  <r>
    <s v="P104"/>
    <s v="Dupe Fashola"/>
    <n v="15"/>
    <s v="Male"/>
    <s v="Lagos"/>
    <s v="12/8/2023"/>
    <x v="3"/>
    <x v="3"/>
    <s v="Dental"/>
    <s v="Dr. Ibrahim"/>
    <s v="Diabetes"/>
    <s v="First Visit"/>
    <s v="128/62"/>
    <n v="86"/>
    <n v="38.700000000000003"/>
    <n v="38.700000000000003"/>
    <n v="104"/>
    <n v="189"/>
    <n v="29.1"/>
    <s v="NHIS"/>
    <n v="51348"/>
    <s v="Paid"/>
    <s v="No"/>
  </r>
  <r>
    <s v="P105"/>
    <s v="Emeka Eze"/>
    <n v="38"/>
    <s v="Unknown"/>
    <s v="Kano"/>
    <s v="8/4/2023"/>
    <x v="8"/>
    <x v="8"/>
    <s v="General OPD"/>
    <s v="Dr. Chukwu"/>
    <s v="Malaria"/>
    <s v="Routine Check-Up"/>
    <s v="111/91"/>
    <n v="96"/>
    <n v="37.799999999999997"/>
    <n v="37.799999999999997"/>
    <n v="97.7"/>
    <n v="174"/>
    <n v="32.299999999999997"/>
    <s v="Bank Transfer"/>
    <n v="94188"/>
    <s v="Unpaid"/>
    <s v="No"/>
  </r>
  <r>
    <s v="P106"/>
    <s v="Fatima Bello"/>
    <n v="13"/>
    <s v="Male"/>
    <s v="Kaduna"/>
    <s v="11/1/2023"/>
    <x v="0"/>
    <x v="0"/>
    <s v="Eye Clinic"/>
    <s v="Dr. Bello"/>
    <s v="Eye Infection"/>
    <s v="Routine Check-Up"/>
    <s v="175/66"/>
    <n v="65"/>
    <n v="38.299999999999997"/>
    <n v="38.299999999999997"/>
    <n v="54.9"/>
    <n v="157"/>
    <n v="22.3"/>
    <s v="NHIS"/>
    <n v="58967"/>
    <s v="Paid"/>
    <s v="Yes"/>
  </r>
  <r>
    <s v="P107"/>
    <s v="Garba Musa"/>
    <n v="20"/>
    <s v="Male"/>
    <s v="Enugu"/>
    <s v="3/4/2023"/>
    <x v="10"/>
    <x v="10"/>
    <s v="Cardiology"/>
    <s v="Dr. Ibrahim"/>
    <s v="Malaria"/>
    <s v="Emergency"/>
    <s v="136/88"/>
    <n v="106"/>
    <n v="38.6"/>
    <n v="38.6"/>
    <n v="104.6"/>
    <n v="171"/>
    <n v="35.799999999999997"/>
    <s v="Cash"/>
    <n v="0"/>
    <s v="Waived"/>
    <s v="No"/>
  </r>
  <r>
    <s v="P108"/>
    <s v="Hauwa Ibrahim"/>
    <n v="68"/>
    <s v="Female"/>
    <s v="Rivers"/>
    <s v="1/27/2023"/>
    <x v="5"/>
    <x v="5"/>
    <s v="Dental"/>
    <s v="Dr. Adeyemi"/>
    <s v="Malaria"/>
    <s v="First Visit"/>
    <s v="106/65"/>
    <n v="84"/>
    <n v="37.1"/>
    <n v="37.1"/>
    <n v="91.1"/>
    <n v="158"/>
    <n v="36.5"/>
    <s v="POS"/>
    <n v="82816"/>
    <s v="Paid"/>
    <s v="No"/>
  </r>
  <r>
    <s v="P109"/>
    <s v="Ifeanyi Obi"/>
    <n v="52"/>
    <s v="Female"/>
    <s v="Delta"/>
    <s v="12/13/2023"/>
    <x v="3"/>
    <x v="3"/>
    <s v="Cardiology"/>
    <s v="Dr. Bello"/>
    <s v="Hypertension"/>
    <s v="Emergency"/>
    <s v="125/86"/>
    <n v="90"/>
    <n v="37.4"/>
    <n v="37.4"/>
    <n v="95"/>
    <n v="165"/>
    <n v="34.9"/>
    <s v="Bank Transfer"/>
    <n v="46763"/>
    <s v="Unpaid"/>
    <s v="No"/>
  </r>
  <r>
    <s v="P110"/>
    <s v="Jumoke Lawal"/>
    <n v="12"/>
    <s v="Female"/>
    <s v="Lagos"/>
    <s v="3/19/2023"/>
    <x v="10"/>
    <x v="10"/>
    <s v="Eye Clinic"/>
    <s v="Dr. Chukwu"/>
    <s v="Asthma"/>
    <s v="Routine Check-Up"/>
    <s v="136/84"/>
    <n v="84"/>
    <n v="38.4"/>
    <n v="38.4"/>
    <n v="82.1"/>
    <n v="162"/>
    <n v="31.3"/>
    <s v="POS"/>
    <n v="40133"/>
    <s v="Pending"/>
    <s v="Yes"/>
  </r>
  <r>
    <s v="P111"/>
    <s v="Kabiru Sani"/>
    <n v="46"/>
    <s v="Female"/>
    <s v="Rivers"/>
    <s v="8/5/2023"/>
    <x v="8"/>
    <x v="8"/>
    <s v="Cardiology"/>
    <s v="Dr. Okafor"/>
    <s v="Malaria"/>
    <s v="Emergency"/>
    <s v="123/69"/>
    <n v="77"/>
    <n v="39.4"/>
    <n v="39.4"/>
    <n v="95.8"/>
    <n v="183"/>
    <n v="28.6"/>
    <s v="POS"/>
    <n v="48462"/>
    <s v="Pending"/>
    <s v="Yes"/>
  </r>
  <r>
    <s v="P112"/>
    <s v="Lola Adeleke"/>
    <n v="74"/>
    <s v="Female"/>
    <s v="Kaduna"/>
    <s v="4/13/2023"/>
    <x v="7"/>
    <x v="7"/>
    <s v="Dental"/>
    <s v="Dr. Bello"/>
    <s v="Upper Respiratory Infection"/>
    <s v="First Visit"/>
    <s v="155/89"/>
    <n v="105"/>
    <n v="36.700000000000003"/>
    <n v="36.700000000000003"/>
    <n v="57.8"/>
    <n v="148"/>
    <n v="26.4"/>
    <s v="POS"/>
    <n v="63256"/>
    <s v="Pending"/>
    <s v="Yes"/>
  </r>
  <r>
    <s v="P113"/>
    <s v="Musa Dangote"/>
    <n v="73"/>
    <s v="Female"/>
    <s v="Abuja"/>
    <s v="4/30/2023"/>
    <x v="7"/>
    <x v="7"/>
    <s v="Pediatrics"/>
    <s v="Dr. Okafor"/>
    <s v="Dental Caries"/>
    <s v="Emergency"/>
    <s v="171/80"/>
    <n v="90"/>
    <n v="37.799999999999997"/>
    <n v="37.799999999999997"/>
    <n v="54.1"/>
    <n v="161"/>
    <n v="20.9"/>
    <s v="Cash"/>
    <n v="15083"/>
    <s v="Paid"/>
    <s v="No"/>
  </r>
  <r>
    <s v="P114"/>
    <s v="Ngozi Eze"/>
    <n v="51"/>
    <s v="Female"/>
    <s v="Kaduna"/>
    <s v="9/22/2023"/>
    <x v="6"/>
    <x v="6"/>
    <s v="Cardiology"/>
    <s v="Dr. Bello"/>
    <s v="Malaria"/>
    <s v="Routine Check-Up"/>
    <s v="152/66"/>
    <n v="83"/>
    <n v="38.200000000000003"/>
    <n v="38.200000000000003"/>
    <n v="95.1"/>
    <n v="157"/>
    <n v="38.6"/>
    <s v="HMO"/>
    <n v="81277"/>
    <s v="Paid"/>
    <s v="No"/>
  </r>
  <r>
    <s v="P115"/>
    <s v="Obinna Igwe"/>
    <n v="40"/>
    <s v="Male"/>
    <s v="Abuja"/>
    <s v="1/18/2023"/>
    <x v="5"/>
    <x v="5"/>
    <s v="Cardiology"/>
    <s v="Dr. Okafor"/>
    <s v="Eye Infection"/>
    <s v="Follow-Up"/>
    <s v="138/77"/>
    <n v="87"/>
    <n v="36.299999999999997"/>
    <n v="36.299999999999997"/>
    <n v="71.3"/>
    <n v="185"/>
    <n v="20.8"/>
    <s v="Bank Transfer"/>
    <n v="20157"/>
    <s v="Unpaid"/>
    <s v="Yes"/>
  </r>
  <r>
    <s v="P116"/>
    <s v="Patience Dike"/>
    <n v="48"/>
    <s v="Male"/>
    <s v="Kano"/>
    <s v="7/13/2023"/>
    <x v="1"/>
    <x v="1"/>
    <s v="General OPD"/>
    <s v="Dr. Adeyemi"/>
    <s v="Malaria"/>
    <s v="First Visit"/>
    <s v="152/89"/>
    <n v="91"/>
    <n v="39.299999999999997"/>
    <n v="39.299999999999997"/>
    <n v="103.7"/>
    <n v="152"/>
    <n v="44.9"/>
    <s v="Bank Transfer"/>
    <n v="86865"/>
    <s v="Unpaid"/>
    <s v="Yes"/>
  </r>
  <r>
    <s v="P117"/>
    <s v="Rotimi Afolabi"/>
    <n v="16"/>
    <s v="Female"/>
    <s v="Oyo"/>
    <s v="10/17/2023"/>
    <x v="11"/>
    <x v="11"/>
    <s v="Cardiology"/>
    <s v="Dr. Adeyemi"/>
    <s v="Dental Caries"/>
    <s v="Routine Check-Up"/>
    <s v="128/88"/>
    <n v="70"/>
    <n v="37.299999999999997"/>
    <n v="37.299999999999997"/>
    <n v="56.5"/>
    <n v="162"/>
    <n v="21.5"/>
    <s v="Cash"/>
    <n v="8063"/>
    <s v="Unpaid"/>
    <s v="No"/>
  </r>
  <r>
    <s v="P118"/>
    <s v="Suleiman Yusuf"/>
    <n v="12"/>
    <s v="Male"/>
    <s v="Lagos"/>
    <s v="5/13/2023"/>
    <x v="4"/>
    <x v="4"/>
    <s v="Eye Clinic"/>
    <s v="Dr. Ibrahim"/>
    <s v="Malaria"/>
    <s v="First Visit"/>
    <s v="123/80"/>
    <n v="108"/>
    <n v="36"/>
    <n v="36"/>
    <n v="53.9"/>
    <n v="167"/>
    <n v="19.3"/>
    <s v="Bank Transfer"/>
    <n v="80524"/>
    <s v="Unpaid"/>
    <s v="Yes"/>
  </r>
  <r>
    <s v="P119"/>
    <s v="Taiwo Ajayi"/>
    <n v="65"/>
    <s v="Female"/>
    <s v="Oyo"/>
    <s v="5/12/2023"/>
    <x v="4"/>
    <x v="4"/>
    <s v="Pediatrics"/>
    <s v="Dr. Adeyemi"/>
    <s v="Anaemia"/>
    <s v="Routine Check-Up"/>
    <s v="153/70"/>
    <n v="88"/>
    <n v="36.799999999999997"/>
    <n v="36.799999999999997"/>
    <n v="50"/>
    <n v="191"/>
    <n v="13.7"/>
    <s v="NHIS"/>
    <n v="64328"/>
    <s v="Pending"/>
    <s v="Yes"/>
  </r>
  <r>
    <s v="P120"/>
    <s v="Uche Okonkwo"/>
    <n v="9"/>
    <s v="Male"/>
    <s v="Enugu"/>
    <s v="2/9/2023"/>
    <x v="2"/>
    <x v="2"/>
    <s v="Eye Clinic"/>
    <s v="Dr. Chukwu"/>
    <s v="Diabetes"/>
    <s v="Routine Check-Up"/>
    <s v="117/84"/>
    <n v="61"/>
    <n v="38.200000000000003"/>
    <n v="38.200000000000003"/>
    <n v="71.7"/>
    <n v="169"/>
    <n v="25.1"/>
    <s v="HMO"/>
    <n v="110880"/>
    <s v="Paid"/>
    <s v="No"/>
  </r>
  <r>
    <s v="P121"/>
    <s v="Amara Okafor"/>
    <n v="19"/>
    <s v="Female"/>
    <s v="Kano"/>
    <s v="6/19/2023"/>
    <x v="9"/>
    <x v="9"/>
    <s v="Cardiology"/>
    <s v="Dr. Adeyemi"/>
    <s v="Diabetes"/>
    <s v="Routine Check-Up"/>
    <s v="175/69"/>
    <n v="88"/>
    <n v="39"/>
    <n v="39"/>
    <n v="58.6"/>
    <n v="174"/>
    <n v="19.399999999999999"/>
    <s v="Cash"/>
    <n v="23406"/>
    <s v="Paid"/>
    <s v="No"/>
  </r>
  <r>
    <s v="P122"/>
    <s v="Bola Adeyemi"/>
    <n v="42"/>
    <s v="Female"/>
    <s v="Kano"/>
    <s v="5/14/2023"/>
    <x v="4"/>
    <x v="4"/>
    <s v="Pediatrics"/>
    <s v="Dr. Adeyemi"/>
    <s v="Anaemia"/>
    <s v="Routine Check-Up"/>
    <s v="166/67"/>
    <n v="69"/>
    <n v="39.4"/>
    <n v="39.4"/>
    <n v="44"/>
    <n v="190"/>
    <n v="12.2"/>
    <s v="Cash"/>
    <n v="76392"/>
    <s v="Unpaid"/>
    <s v="No"/>
  </r>
  <r>
    <s v="P123"/>
    <s v="Chidi Nwosu"/>
    <n v="20"/>
    <s v="Female"/>
    <s v="Enugu"/>
    <s v="7/6/2023"/>
    <x v="1"/>
    <x v="1"/>
    <s v="Pediatrics"/>
    <s v="Dr. Chukwu"/>
    <s v="Typhoid Fever"/>
    <s v="Follow-Up"/>
    <s v="117/84"/>
    <n v="78"/>
    <n v="37.5"/>
    <n v="37.5"/>
    <n v="51.4"/>
    <n v="166"/>
    <n v="18.7"/>
    <s v="Cash"/>
    <n v="86861"/>
    <s v="Paid"/>
    <s v="No"/>
  </r>
  <r>
    <s v="P124"/>
    <s v="Dupe Fashola"/>
    <n v="69"/>
    <s v="Female"/>
    <s v="Kano"/>
    <s v="8/15/2023"/>
    <x v="8"/>
    <x v="8"/>
    <s v="General OPD"/>
    <s v="Dr. Okafor"/>
    <s v="Upper Respiratory Infection"/>
    <s v="Follow-Up"/>
    <s v="151/87"/>
    <n v="62"/>
    <n v="39.200000000000003"/>
    <n v="39.200000000000003"/>
    <n v="55.3"/>
    <n v="184"/>
    <n v="16.3"/>
    <s v="Cash"/>
    <n v="21097"/>
    <s v="Paid"/>
    <s v="Yes"/>
  </r>
  <r>
    <s v="P125"/>
    <s v="Emeka Eze"/>
    <n v="27"/>
    <s v="Unknown"/>
    <s v="Abuja"/>
    <s v="2/14/2023"/>
    <x v="2"/>
    <x v="2"/>
    <s v="Eye Clinic"/>
    <s v="Dr. Ibrahim"/>
    <s v="Upper Respiratory Infection"/>
    <s v="Follow-Up"/>
    <s v="131/68"/>
    <n v="99"/>
    <n v="38.299999999999997"/>
    <n v="38.299999999999997"/>
    <n v="84"/>
    <n v="160"/>
    <n v="32.799999999999997"/>
    <s v="Bank Transfer"/>
    <n v="43375"/>
    <s v="Paid"/>
    <s v="Yes"/>
  </r>
  <r>
    <s v="P126"/>
    <s v="Fatima Bello"/>
    <n v="13"/>
    <s v="Female"/>
    <s v="Lagos"/>
    <s v="9/23/2023"/>
    <x v="6"/>
    <x v="6"/>
    <s v="Diabetes Clinic"/>
    <s v="Dr. Chukwu"/>
    <s v="Upper Respiratory Infection"/>
    <s v="Routine Check-Up"/>
    <s v="116/60"/>
    <n v="86"/>
    <n v="39.200000000000003"/>
    <n v="39.200000000000003"/>
    <n v="73.400000000000006"/>
    <n v="190"/>
    <n v="20.3"/>
    <s v="HMO"/>
    <n v="35550"/>
    <s v="Paid"/>
    <s v="No"/>
  </r>
  <r>
    <s v="P127"/>
    <s v="Garba Musa"/>
    <n v="9"/>
    <s v="Male"/>
    <s v="Oyo"/>
    <s v="10/22/2023"/>
    <x v="11"/>
    <x v="11"/>
    <s v="Eye Clinic"/>
    <s v="Dr. Adeyemi"/>
    <s v="Anaemia"/>
    <s v="Routine Check-Up"/>
    <s v="171/64"/>
    <n v="67"/>
    <n v="37.200000000000003"/>
    <n v="37.200000000000003"/>
    <n v="57.1"/>
    <n v="168"/>
    <n v="20.2"/>
    <s v="POS"/>
    <n v="78538"/>
    <s v="Paid"/>
    <s v="No"/>
  </r>
  <r>
    <s v="P128"/>
    <s v="Hauwa Ibrahim"/>
    <n v="18"/>
    <s v="Female"/>
    <s v="Delta"/>
    <s v="9/20/2023"/>
    <x v="6"/>
    <x v="6"/>
    <s v="General OPD"/>
    <s v="Dr. Okafor"/>
    <s v="Dental Caries"/>
    <s v="Follow-Up"/>
    <s v="107/75"/>
    <n v="65"/>
    <n v="36.799999999999997"/>
    <n v="36.799999999999997"/>
    <n v="52.8"/>
    <n v="154"/>
    <n v="22.3"/>
    <s v="HMO"/>
    <n v="35828"/>
    <s v="Pending"/>
    <s v="Yes"/>
  </r>
  <r>
    <s v="P129"/>
    <s v="Ifeanyi Obi"/>
    <n v="7"/>
    <s v="Male"/>
    <s v="Enugu"/>
    <s v="5/14/2023"/>
    <x v="4"/>
    <x v="4"/>
    <s v="General OPD"/>
    <s v="Dr. Okafor"/>
    <s v="Asthma"/>
    <s v="Routine Check-Up"/>
    <s v="171/75"/>
    <n v="104"/>
    <n v="37.6"/>
    <n v="37.6"/>
    <n v="64.5"/>
    <n v="154"/>
    <n v="27.2"/>
    <s v="Cash"/>
    <n v="8920"/>
    <s v="Unpaid"/>
    <s v="Yes"/>
  </r>
  <r>
    <s v="P130"/>
    <s v="Jumoke Lawal"/>
    <n v="64"/>
    <s v="Female"/>
    <s v="Rivers"/>
    <s v="2/26/2023"/>
    <x v="2"/>
    <x v="2"/>
    <s v="General OPD"/>
    <s v="Dr. Adeyemi"/>
    <s v="Gastroenteritis"/>
    <s v="Follow-Up"/>
    <s v="174/74"/>
    <n v="74"/>
    <n v="36.5"/>
    <n v="36.5"/>
    <n v="80.099999999999994"/>
    <n v="173"/>
    <n v="26.8"/>
    <s v="Cash"/>
    <n v="111267"/>
    <s v="Paid"/>
    <s v="No"/>
  </r>
  <r>
    <s v="P131"/>
    <s v="Kabiru Sani"/>
    <n v="58"/>
    <s v="Male"/>
    <s v="Kaduna"/>
    <s v="1/27/2023"/>
    <x v="5"/>
    <x v="5"/>
    <s v="Diabetes Clinic"/>
    <s v="Dr. Chukwu"/>
    <s v="Gastroenteritis"/>
    <s v="Follow-Up"/>
    <s v="147/87"/>
    <n v="96"/>
    <n v="38.799999999999997"/>
    <n v="38.799999999999997"/>
    <n v="103.9"/>
    <n v="173"/>
    <n v="34.700000000000003"/>
    <s v="Bank Transfer"/>
    <n v="10019"/>
    <s v="Unpaid"/>
    <s v="Yes"/>
  </r>
  <r>
    <s v="P132"/>
    <s v="Lola Adeleke"/>
    <n v="50"/>
    <s v="Male"/>
    <s v="Kaduna"/>
    <s v="12/6/2023"/>
    <x v="3"/>
    <x v="3"/>
    <s v="Dental"/>
    <s v="Dr. Adeyemi"/>
    <s v="Anaemia"/>
    <s v="First Visit"/>
    <s v="172/71"/>
    <n v="64"/>
    <n v="37.1"/>
    <n v="37.1"/>
    <n v="54.1"/>
    <n v="190"/>
    <n v="15"/>
    <s v="NHIS"/>
    <n v="32553"/>
    <s v="Paid"/>
    <s v="No"/>
  </r>
  <r>
    <s v="P133"/>
    <s v="Musa Dangote"/>
    <n v="55"/>
    <s v="Female"/>
    <s v="Lagos"/>
    <s v="1/21/2023"/>
    <x v="5"/>
    <x v="5"/>
    <s v="General OPD"/>
    <s v="Dr. Okafor"/>
    <s v="Upper Respiratory Infection"/>
    <s v="Emergency"/>
    <s v="174/62"/>
    <n v="99"/>
    <n v="36.4"/>
    <n v="36.4"/>
    <n v="48.5"/>
    <n v="148"/>
    <n v="22.1"/>
    <s v="POS"/>
    <n v="34018"/>
    <s v="Paid"/>
    <s v="No"/>
  </r>
  <r>
    <s v="P134"/>
    <s v="Ngozi Eze"/>
    <n v="19"/>
    <s v="Female"/>
    <s v="Oyo"/>
    <s v="11/28/2023"/>
    <x v="0"/>
    <x v="0"/>
    <s v="Cardiology"/>
    <s v="Dr. Adeyemi"/>
    <s v="Malaria"/>
    <s v="Emergency"/>
    <s v="115/89"/>
    <n v="97"/>
    <n v="37.9"/>
    <n v="37.9"/>
    <n v="50.4"/>
    <n v="155"/>
    <n v="21"/>
    <s v="Bank Transfer"/>
    <n v="20218"/>
    <s v="Unpaid"/>
    <s v="No"/>
  </r>
  <r>
    <s v="P135"/>
    <s v="Obinna Igwe"/>
    <n v="41"/>
    <s v="Female"/>
    <s v="Enugu"/>
    <s v="2/14/2023"/>
    <x v="2"/>
    <x v="2"/>
    <s v="Dental"/>
    <s v="Dr. Okafor"/>
    <s v="Upper Respiratory Infection"/>
    <s v="Routine Check-Up"/>
    <s v="133/84"/>
    <n v="72"/>
    <n v="37.9"/>
    <n v="37.9"/>
    <n v="65.7"/>
    <n v="183"/>
    <n v="19.600000000000001"/>
    <s v="HMO"/>
    <n v="83320"/>
    <s v="Unpaid"/>
    <s v="No"/>
  </r>
  <r>
    <s v="P136"/>
    <s v="Patience Dike"/>
    <n v="44"/>
    <s v="Male"/>
    <s v="Enugu"/>
    <s v="6/20/2023"/>
    <x v="9"/>
    <x v="9"/>
    <s v="Cardiology"/>
    <s v="Dr. Bello"/>
    <s v="Dental Caries"/>
    <s v="Routine Check-Up"/>
    <s v="155/60"/>
    <n v="82"/>
    <n v="36.6"/>
    <n v="36.6"/>
    <n v="106.6"/>
    <n v="168"/>
    <n v="37.799999999999997"/>
    <s v="Bank Transfer"/>
    <n v="45661"/>
    <s v="Unpaid"/>
    <s v="No"/>
  </r>
  <r>
    <s v="P137"/>
    <s v="Rotimi Afolabi"/>
    <n v="41"/>
    <s v="Male"/>
    <s v="Rivers"/>
    <s v="1/30/2023"/>
    <x v="5"/>
    <x v="5"/>
    <s v="General OPD"/>
    <s v="Dr. Bello"/>
    <s v="Dental Caries"/>
    <s v="First Visit"/>
    <s v="149/88"/>
    <n v="102"/>
    <n v="36.200000000000003"/>
    <n v="36.200000000000003"/>
    <n v="67.2"/>
    <n v="176"/>
    <n v="21.7"/>
    <s v="HMO"/>
    <n v="99392"/>
    <s v="Paid"/>
    <s v="Yes"/>
  </r>
  <r>
    <s v="P138"/>
    <s v="Suleiman Yusuf"/>
    <n v="24"/>
    <s v="Female"/>
    <s v="Oyo"/>
    <s v="12/9/2023"/>
    <x v="3"/>
    <x v="3"/>
    <s v="Diabetes Clinic"/>
    <s v="Dr. Bello"/>
    <s v="Typhoid Fever"/>
    <s v="Emergency"/>
    <s v="171/66"/>
    <n v="107"/>
    <n v="39"/>
    <n v="39"/>
    <n v="104.5"/>
    <n v="178"/>
    <n v="33"/>
    <s v="HMO"/>
    <n v="105883"/>
    <s v="Pending"/>
    <s v="Yes"/>
  </r>
  <r>
    <s v="P139"/>
    <s v="Taiwo Ajayi"/>
    <n v="57"/>
    <s v="Male"/>
    <s v="Lagos"/>
    <s v="7/30/2023"/>
    <x v="1"/>
    <x v="1"/>
    <s v="Eye Clinic"/>
    <s v="Dr. Okafor"/>
    <s v="Hypertension"/>
    <s v="Routine Check-Up"/>
    <s v="155/69"/>
    <n v="86"/>
    <n v="39"/>
    <n v="39"/>
    <n v="59.6"/>
    <n v="187"/>
    <n v="17"/>
    <s v="Bank Transfer"/>
    <n v="17552"/>
    <s v="Unpaid"/>
    <s v="No"/>
  </r>
  <r>
    <s v="P140"/>
    <s v="Uche Okonkwo"/>
    <n v="63"/>
    <s v="Female"/>
    <s v="Oyo"/>
    <s v="5/30/2023"/>
    <x v="4"/>
    <x v="4"/>
    <s v="Diabetes Clinic"/>
    <s v="Dr. Ibrahim"/>
    <s v="Dental Caries"/>
    <s v="Routine Check-Up"/>
    <s v="146/60"/>
    <n v="110"/>
    <n v="38.6"/>
    <n v="38.6"/>
    <n v="109.3"/>
    <n v="172"/>
    <n v="36.9"/>
    <s v="POS"/>
    <n v="42324"/>
    <s v="Paid"/>
    <s v="No"/>
  </r>
  <r>
    <s v="P141"/>
    <s v="Amara Okafor"/>
    <n v="23"/>
    <s v="Female"/>
    <s v="Kaduna"/>
    <s v="10/25/2023"/>
    <x v="11"/>
    <x v="11"/>
    <s v="Cardiology"/>
    <s v="Dr. Adeyemi"/>
    <s v="Anaemia"/>
    <s v="Emergency"/>
    <s v="136/80"/>
    <n v="73"/>
    <n v="39.4"/>
    <n v="39.4"/>
    <n v="102.4"/>
    <n v="148"/>
    <n v="46.7"/>
    <s v="NHIS"/>
    <n v="9218"/>
    <s v="Unpaid"/>
    <s v="No"/>
  </r>
  <r>
    <s v="P142"/>
    <s v="Bola Adeyemi"/>
    <n v="43"/>
    <s v="Female"/>
    <s v="Kaduna"/>
    <s v="9/22/2023"/>
    <x v="6"/>
    <x v="6"/>
    <s v="Eye Clinic"/>
    <s v="Dr. Ibrahim"/>
    <s v="Gastroenteritis"/>
    <s v="Routine Check-Up"/>
    <s v="150/62"/>
    <n v="98"/>
    <n v="38.4"/>
    <n v="38.4"/>
    <n v="71.7"/>
    <n v="148"/>
    <n v="32.700000000000003"/>
    <s v="NHIS"/>
    <n v="71845"/>
    <s v="Paid"/>
    <s v="Yes"/>
  </r>
  <r>
    <s v="P143"/>
    <s v="Chidi Nwosu"/>
    <n v="57"/>
    <s v="Female"/>
    <s v="Kaduna"/>
    <s v="11/29/2023"/>
    <x v="0"/>
    <x v="0"/>
    <s v="Eye Clinic"/>
    <s v="Dr. Okafor"/>
    <s v="Diabetes"/>
    <s v="Follow-Up"/>
    <s v="158/91"/>
    <n v="85"/>
    <n v="37.5"/>
    <n v="37.5"/>
    <n v="83.7"/>
    <n v="185"/>
    <n v="24.5"/>
    <s v="HMO"/>
    <n v="93646"/>
    <s v="Pending"/>
    <s v="Yes"/>
  </r>
  <r>
    <s v="P144"/>
    <s v="Dupe Fashola"/>
    <n v="26"/>
    <s v="Female"/>
    <s v="Oyo"/>
    <s v="7/7/2023"/>
    <x v="1"/>
    <x v="1"/>
    <s v="General OPD"/>
    <s v="Dr. Chukwu"/>
    <s v="Dental Caries"/>
    <s v="Follow-Up"/>
    <s v="119/78"/>
    <n v="104"/>
    <n v="37.200000000000003"/>
    <n v="37.200000000000003"/>
    <n v="105.5"/>
    <n v="180"/>
    <n v="32.6"/>
    <s v="POS"/>
    <n v="85719"/>
    <s v="Paid"/>
    <s v="No"/>
  </r>
  <r>
    <s v="P145"/>
    <s v="Emeka Eze"/>
    <n v="70"/>
    <s v="Male"/>
    <s v="Enugu"/>
    <s v="7/31/2023"/>
    <x v="1"/>
    <x v="1"/>
    <s v="Cardiology"/>
    <s v="Dr. Adeyemi"/>
    <s v="Asthma"/>
    <s v="First Visit"/>
    <s v="150/62"/>
    <n v="104"/>
    <n v="37.4"/>
    <n v="37.4"/>
    <n v="95.1"/>
    <n v="167"/>
    <n v="34.1"/>
    <s v="Bank Transfer"/>
    <n v="3512"/>
    <s v="Unpaid"/>
    <s v="No"/>
  </r>
  <r>
    <s v="P146"/>
    <s v="Fatima Bello"/>
    <n v="17"/>
    <s v="Male"/>
    <s v="Lagos"/>
    <s v="4/11/2023"/>
    <x v="7"/>
    <x v="7"/>
    <s v="Cardiology"/>
    <s v="Dr. Ibrahim"/>
    <s v="Dental Caries"/>
    <s v="Emergency"/>
    <s v="173/92"/>
    <n v="69"/>
    <n v="38"/>
    <n v="38"/>
    <n v="68.8"/>
    <n v="155"/>
    <n v="28.6"/>
    <s v="Cash"/>
    <n v="23548"/>
    <s v="Pending"/>
    <s v="Yes"/>
  </r>
  <r>
    <s v="P147"/>
    <s v="Garba Musa"/>
    <n v="8"/>
    <s v="Male"/>
    <s v="Abuja"/>
    <s v="3/29/2023"/>
    <x v="10"/>
    <x v="10"/>
    <s v="Eye Clinic"/>
    <s v="Dr. Ibrahim"/>
    <s v="Eye Infection"/>
    <s v="Routine Check-Up"/>
    <s v="112/60"/>
    <n v="103"/>
    <n v="38.700000000000003"/>
    <n v="38.700000000000003"/>
    <n v="62.6"/>
    <n v="163"/>
    <n v="23.6"/>
    <s v="HMO"/>
    <n v="39103"/>
    <s v="Paid"/>
    <s v="Yes"/>
  </r>
  <r>
    <s v="P148"/>
    <s v="Hauwa Ibrahim"/>
    <n v="39"/>
    <s v="Male"/>
    <s v="Abuja"/>
    <s v="6/28/2023"/>
    <x v="9"/>
    <x v="9"/>
    <s v="Cardiology"/>
    <s v="Dr. Ibrahim"/>
    <s v="Asthma"/>
    <s v="Routine Check-Up"/>
    <s v="107/63"/>
    <n v="74"/>
    <n v="39.1"/>
    <n v="39.1"/>
    <n v="80.8"/>
    <n v="150"/>
    <n v="35.9"/>
    <s v="POS"/>
    <n v="10154"/>
    <s v="Pending"/>
    <s v="Yes"/>
  </r>
  <r>
    <s v="P149"/>
    <s v="Ifeanyi Obi"/>
    <n v="36"/>
    <s v="Male"/>
    <s v="Lagos"/>
    <s v="3/23/2023"/>
    <x v="10"/>
    <x v="10"/>
    <s v="Eye Clinic"/>
    <s v="Dr. Bello"/>
    <s v="Anaemia"/>
    <s v="First Visit"/>
    <s v="163/79"/>
    <n v="86"/>
    <n v="38.1"/>
    <n v="38.1"/>
    <n v="107.2"/>
    <n v="179"/>
    <n v="33.5"/>
    <s v="NHIS"/>
    <n v="34841"/>
    <s v="Pending"/>
    <s v="No"/>
  </r>
  <r>
    <s v="P150"/>
    <s v="Jumoke Lawal"/>
    <n v="33"/>
    <s v="Female"/>
    <s v="Rivers"/>
    <s v="7/24/2023"/>
    <x v="1"/>
    <x v="1"/>
    <s v="Dental"/>
    <s v="Dr. Ibrahim"/>
    <s v="Malaria"/>
    <s v="Follow-Up"/>
    <s v="116/71"/>
    <n v="70"/>
    <n v="37.299999999999997"/>
    <n v="37.299999999999997"/>
    <n v="53.1"/>
    <n v="166"/>
    <n v="19.3"/>
    <s v="POS"/>
    <n v="76601"/>
    <s v="Unpaid"/>
    <s v="Yes"/>
  </r>
  <r>
    <s v="P151"/>
    <s v="Kabiru Sani"/>
    <n v="47"/>
    <s v="Female"/>
    <s v="Oyo"/>
    <s v="7/26/2023"/>
    <x v="1"/>
    <x v="1"/>
    <s v="Dental"/>
    <s v="Dr. Adeyemi"/>
    <s v="Hypertension"/>
    <s v="Routine Check-Up"/>
    <s v="149/95"/>
    <n v="75"/>
    <n v="37.4"/>
    <n v="37.4"/>
    <n v="72.7"/>
    <n v="170"/>
    <n v="25.2"/>
    <s v="Cash"/>
    <n v="60091"/>
    <s v="Paid"/>
    <s v="No"/>
  </r>
  <r>
    <s v="P152"/>
    <s v="Lola Adeleke"/>
    <n v="8"/>
    <s v="Female"/>
    <s v="Kano"/>
    <s v="5/4/2023"/>
    <x v="4"/>
    <x v="4"/>
    <s v="Dental"/>
    <s v="Dr. Bello"/>
    <s v="Hypertension"/>
    <s v="Follow-Up"/>
    <s v="139/94"/>
    <n v="110"/>
    <n v="36.4"/>
    <n v="36.4"/>
    <n v="71"/>
    <n v="163"/>
    <n v="26.7"/>
    <s v="Cash"/>
    <n v="51223"/>
    <s v="Unpaid"/>
    <s v="Yes"/>
  </r>
  <r>
    <s v="P153"/>
    <s v="Musa Dangote"/>
    <n v="56"/>
    <s v="Female"/>
    <s v="Enugu"/>
    <s v="6/2/2023"/>
    <x v="9"/>
    <x v="9"/>
    <s v="Pediatrics"/>
    <s v="Dr. Okafor"/>
    <s v="Typhoid Fever"/>
    <s v="Follow-Up"/>
    <s v="162/68"/>
    <n v="105"/>
    <n v="39.5"/>
    <n v="39.5"/>
    <n v="81.7"/>
    <n v="176"/>
    <n v="26.4"/>
    <s v="Bank Transfer"/>
    <n v="51233"/>
    <s v="Pending"/>
    <s v="Yes"/>
  </r>
  <r>
    <s v="P154"/>
    <s v="Ngozi Eze"/>
    <n v="56"/>
    <s v="Male"/>
    <s v="Kano"/>
    <s v="3/4/2023"/>
    <x v="10"/>
    <x v="10"/>
    <s v="Dental"/>
    <s v="Dr. Okafor"/>
    <s v="Hypertension"/>
    <s v="Emergency"/>
    <s v="154/61"/>
    <n v="102"/>
    <n v="38.5"/>
    <n v="38.5"/>
    <n v="50.2"/>
    <n v="148"/>
    <n v="22.9"/>
    <s v="POS"/>
    <n v="96153"/>
    <s v="Paid"/>
    <s v="Yes"/>
  </r>
  <r>
    <s v="P155"/>
    <s v="Obinna Igwe"/>
    <n v="34"/>
    <s v="Female"/>
    <s v="Enugu"/>
    <s v="12/6/2023"/>
    <x v="3"/>
    <x v="3"/>
    <s v="General OPD"/>
    <s v="Dr. Adeyemi"/>
    <s v="Dental Caries"/>
    <s v="Emergency"/>
    <s v="169/79"/>
    <n v="72"/>
    <n v="36.200000000000003"/>
    <n v="36.200000000000003"/>
    <n v="61.8"/>
    <n v="162"/>
    <n v="23.5"/>
    <s v="HMO"/>
    <n v="19532"/>
    <s v="Pending"/>
    <s v="No"/>
  </r>
  <r>
    <s v="P156"/>
    <s v="Patience Dike"/>
    <n v="41"/>
    <s v="Female"/>
    <s v="Kaduna"/>
    <s v="8/26/2023"/>
    <x v="8"/>
    <x v="8"/>
    <s v="Dental"/>
    <s v="Dr. Bello"/>
    <s v="Upper Respiratory Infection"/>
    <s v="Follow-Up"/>
    <s v="108/83"/>
    <n v="103"/>
    <n v="38.799999999999997"/>
    <n v="38.799999999999997"/>
    <n v="88.4"/>
    <n v="174"/>
    <n v="29.2"/>
    <s v="NHIS"/>
    <n v="89384"/>
    <s v="Pending"/>
    <s v="No"/>
  </r>
  <r>
    <s v="P157"/>
    <s v="Rotimi Afolabi"/>
    <n v="36"/>
    <s v="Female"/>
    <s v="Oyo"/>
    <s v="11/18/2023"/>
    <x v="0"/>
    <x v="0"/>
    <s v="General OPD"/>
    <s v="Dr. Bello"/>
    <s v="Upper Respiratory Infection"/>
    <s v="First Visit"/>
    <s v="139/74"/>
    <n v="105"/>
    <n v="38.4"/>
    <n v="38.4"/>
    <n v="68.3"/>
    <n v="186"/>
    <n v="19.7"/>
    <s v="Cash"/>
    <n v="59453"/>
    <s v="Paid"/>
    <s v="No"/>
  </r>
  <r>
    <s v="P158"/>
    <s v="Suleiman Yusuf"/>
    <n v="24"/>
    <s v="Female"/>
    <s v="Lagos"/>
    <s v="10/10/2023"/>
    <x v="11"/>
    <x v="11"/>
    <s v="Diabetes Clinic"/>
    <s v="Dr. Bello"/>
    <s v="Asthma"/>
    <s v="Follow-Up"/>
    <s v="168/93"/>
    <n v="76"/>
    <n v="39.200000000000003"/>
    <n v="39.200000000000003"/>
    <n v="86.9"/>
    <n v="184"/>
    <n v="25.7"/>
    <s v="HMO"/>
    <n v="3127"/>
    <s v="Paid"/>
    <s v="No"/>
  </r>
  <r>
    <s v="P159"/>
    <s v="Taiwo Ajayi"/>
    <n v="10"/>
    <s v="Male"/>
    <s v="Enugu"/>
    <s v="12/15/2023"/>
    <x v="3"/>
    <x v="3"/>
    <s v="General OPD"/>
    <s v="Dr. Adeyemi"/>
    <s v="Anaemia"/>
    <s v="Follow-Up"/>
    <s v="149/65"/>
    <n v="86"/>
    <n v="38.4"/>
    <n v="38.4"/>
    <n v="67.599999999999994"/>
    <n v="187"/>
    <n v="19.3"/>
    <s v="Cash"/>
    <n v="39852"/>
    <s v="Pending"/>
    <s v="Yes"/>
  </r>
  <r>
    <s v="P160"/>
    <s v="Uche Okonkwo"/>
    <n v="49"/>
    <s v="Female"/>
    <s v="Delta"/>
    <s v="6/24/2023"/>
    <x v="9"/>
    <x v="9"/>
    <s v="Dental"/>
    <s v="Dr. Okafor"/>
    <s v="Eye Infection"/>
    <s v="First Visit"/>
    <s v="131/87"/>
    <n v="103"/>
    <n v="37.799999999999997"/>
    <n v="37.799999999999997"/>
    <n v="105"/>
    <n v="156"/>
    <n v="43.1"/>
    <s v="POS"/>
    <n v="102866"/>
    <s v="Paid"/>
    <s v="Yes"/>
  </r>
  <r>
    <s v="P161"/>
    <s v="Amara Okafor"/>
    <n v="38"/>
    <s v="Male"/>
    <s v="Kano"/>
    <s v="11/23/2023"/>
    <x v="0"/>
    <x v="0"/>
    <s v="Cardiology"/>
    <s v="Dr. Okafor"/>
    <s v="Upper Respiratory Infection"/>
    <s v="Follow-Up"/>
    <s v="112/70"/>
    <n v="82"/>
    <n v="37.200000000000003"/>
    <n v="37.200000000000003"/>
    <n v="46.5"/>
    <n v="188"/>
    <n v="13.2"/>
    <s v="HMO"/>
    <n v="20981"/>
    <s v="Paid"/>
    <s v="No"/>
  </r>
  <r>
    <s v="P162"/>
    <s v="Bola Adeyemi"/>
    <n v="66"/>
    <s v="Male"/>
    <s v="Enugu"/>
    <s v="1/4/2023"/>
    <x v="5"/>
    <x v="5"/>
    <s v="Eye Clinic"/>
    <s v="Dr. Ibrahim"/>
    <s v="Diabetes"/>
    <s v="Emergency"/>
    <s v="143/68"/>
    <n v="105"/>
    <n v="36.5"/>
    <n v="36.5"/>
    <n v="79.400000000000006"/>
    <n v="169"/>
    <n v="27.8"/>
    <s v="NHIS"/>
    <n v="74861"/>
    <s v="Unpaid"/>
    <s v="Yes"/>
  </r>
  <r>
    <s v="P163"/>
    <s v="Chidi Nwosu"/>
    <n v="24"/>
    <s v="Female"/>
    <s v="Kaduna"/>
    <s v="4/16/2023"/>
    <x v="7"/>
    <x v="7"/>
    <s v="General OPD"/>
    <s v="Dr. Chukwu"/>
    <s v="Malaria"/>
    <s v="Emergency"/>
    <s v="167/73"/>
    <n v="62"/>
    <n v="36.200000000000003"/>
    <n v="36.200000000000003"/>
    <n v="59.7"/>
    <n v="160"/>
    <n v="23.3"/>
    <s v="NHIS"/>
    <n v="94963"/>
    <s v="Unpaid"/>
    <s v="No"/>
  </r>
  <r>
    <s v="P164"/>
    <s v="Dupe Fashola"/>
    <n v="19"/>
    <s v="Male"/>
    <s v="Oyo"/>
    <s v="8/16/2023"/>
    <x v="8"/>
    <x v="8"/>
    <s v="Pediatrics"/>
    <s v="Dr. Okafor"/>
    <s v="Anaemia"/>
    <s v="Emergency"/>
    <s v="126/95"/>
    <n v="64"/>
    <n v="36.200000000000003"/>
    <n v="36.200000000000003"/>
    <n v="72.8"/>
    <n v="179"/>
    <n v="22.7"/>
    <s v="NHIS"/>
    <n v="100948"/>
    <s v="Pending"/>
    <s v="No"/>
  </r>
  <r>
    <s v="P165"/>
    <s v="Emeka Eze"/>
    <n v="38"/>
    <s v="Male"/>
    <s v="Delta"/>
    <s v="8/11/2023"/>
    <x v="8"/>
    <x v="8"/>
    <s v="Pediatrics"/>
    <s v="Dr. Bello"/>
    <s v="Dental Caries"/>
    <s v="Emergency"/>
    <s v="106/82"/>
    <n v="65"/>
    <n v="38.299999999999997"/>
    <n v="38.299999999999997"/>
    <n v="83.9"/>
    <n v="189"/>
    <n v="23.5"/>
    <s v="HMO"/>
    <n v="88599"/>
    <s v="Paid"/>
    <s v="Yes"/>
  </r>
  <r>
    <s v="P166"/>
    <s v="Fatima Bello"/>
    <n v="22"/>
    <s v="Male"/>
    <s v="Lagos"/>
    <s v="7/22/2023"/>
    <x v="1"/>
    <x v="1"/>
    <s v="Cardiology"/>
    <s v="Dr. Chukwu"/>
    <s v="Anaemia"/>
    <s v="Follow-Up"/>
    <s v="172/70"/>
    <n v="66"/>
    <n v="38.700000000000003"/>
    <n v="38.700000000000003"/>
    <n v="98.1"/>
    <n v="187"/>
    <n v="28.1"/>
    <s v="HMO"/>
    <n v="52725"/>
    <s v="Paid"/>
    <s v="No"/>
  </r>
  <r>
    <s v="P167"/>
    <s v="Garba Musa"/>
    <n v="45"/>
    <s v="Male"/>
    <s v="Oyo"/>
    <s v="3/11/2023"/>
    <x v="10"/>
    <x v="10"/>
    <s v="Eye Clinic"/>
    <s v="Dr. Chukwu"/>
    <s v="Upper Respiratory Infection"/>
    <s v="Follow-Up"/>
    <s v="112/62"/>
    <n v="66"/>
    <n v="38"/>
    <n v="38"/>
    <n v="84"/>
    <n v="173"/>
    <n v="28.1"/>
    <s v="NHIS"/>
    <n v="31369"/>
    <s v="Unpaid"/>
    <s v="No"/>
  </r>
  <r>
    <s v="P168"/>
    <s v="Hauwa Ibrahim"/>
    <n v="68"/>
    <s v="Male"/>
    <s v="Rivers"/>
    <s v="11/5/2023"/>
    <x v="0"/>
    <x v="0"/>
    <s v="Eye Clinic"/>
    <s v="Dr. Adeyemi"/>
    <s v="Diabetes"/>
    <s v="Follow-Up"/>
    <s v="125/68"/>
    <n v="88"/>
    <n v="38.200000000000003"/>
    <n v="38.200000000000003"/>
    <n v="68.099999999999994"/>
    <n v="150"/>
    <n v="30.3"/>
    <s v="POS"/>
    <n v="65836"/>
    <s v="Paid"/>
    <s v="Yes"/>
  </r>
  <r>
    <s v="P169"/>
    <s v="Ifeanyi Obi"/>
    <n v="52"/>
    <s v="Male"/>
    <s v="Lagos"/>
    <s v="11/9/2023"/>
    <x v="0"/>
    <x v="0"/>
    <s v="Eye Clinic"/>
    <s v="Dr. Ibrahim"/>
    <s v="Diabetes"/>
    <s v="Emergency"/>
    <s v="114/63"/>
    <n v="92"/>
    <n v="38.5"/>
    <n v="38.5"/>
    <n v="102.3"/>
    <n v="152"/>
    <n v="44.3"/>
    <s v="POS"/>
    <n v="4153"/>
    <s v="Pending"/>
    <s v="Yes"/>
  </r>
  <r>
    <s v="P170"/>
    <s v="Jumoke Lawal"/>
    <n v="26"/>
    <s v="Female"/>
    <s v="Rivers"/>
    <s v="1/3/2023"/>
    <x v="5"/>
    <x v="5"/>
    <s v="Pediatrics"/>
    <s v="Dr. Okafor"/>
    <s v="Anaemia"/>
    <s v="Follow-Up"/>
    <s v="165/65"/>
    <n v="94"/>
    <n v="37.1"/>
    <n v="37.1"/>
    <n v="72.2"/>
    <n v="182"/>
    <n v="21.8"/>
    <s v="Cash"/>
    <n v="55607"/>
    <s v="Pending"/>
    <s v="Yes"/>
  </r>
  <r>
    <s v="P171"/>
    <s v="Kabiru Sani"/>
    <n v="12"/>
    <s v="Female"/>
    <s v="Rivers"/>
    <s v="10/17/2023"/>
    <x v="11"/>
    <x v="11"/>
    <s v="Eye Clinic"/>
    <s v="Dr. Ibrahim"/>
    <s v="Anaemia"/>
    <s v="Routine Check-Up"/>
    <s v="122/79"/>
    <n v="81"/>
    <n v="37.9"/>
    <n v="37.9"/>
    <n v="84.4"/>
    <n v="160"/>
    <n v="33"/>
    <s v="Cash"/>
    <n v="91956"/>
    <s v="Pending"/>
    <s v="No"/>
  </r>
  <r>
    <s v="P172"/>
    <s v="Lola Adeleke"/>
    <n v="15"/>
    <s v="Male"/>
    <s v="Oyo"/>
    <s v="10/12/2023"/>
    <x v="11"/>
    <x v="11"/>
    <s v="Eye Clinic"/>
    <s v="Dr. Ibrahim"/>
    <s v="Anaemia"/>
    <s v="Follow-Up"/>
    <s v="161/85"/>
    <n v="76"/>
    <n v="36.4"/>
    <n v="36.4"/>
    <n v="52.6"/>
    <n v="160"/>
    <n v="20.5"/>
    <s v="Bank Transfer"/>
    <n v="101283"/>
    <s v="Paid"/>
    <s v="Yes"/>
  </r>
  <r>
    <s v="P173"/>
    <s v="Musa Dangote"/>
    <n v="37"/>
    <s v="Male"/>
    <s v="Enugu"/>
    <s v="9/29/2023"/>
    <x v="6"/>
    <x v="6"/>
    <s v="Dental"/>
    <s v="Dr. Chukwu"/>
    <s v="Eye Infection"/>
    <s v="Follow-Up"/>
    <s v="175/89"/>
    <n v="74"/>
    <n v="37.9"/>
    <n v="37.9"/>
    <n v="88.8"/>
    <n v="180"/>
    <n v="27.4"/>
    <s v="Bank Transfer"/>
    <n v="77299"/>
    <s v="Paid"/>
    <s v="No"/>
  </r>
  <r>
    <s v="P174"/>
    <s v="Ngozi Eze"/>
    <n v="14"/>
    <s v="Female"/>
    <s v="Kano"/>
    <s v="9/15/2023"/>
    <x v="6"/>
    <x v="6"/>
    <s v="Eye Clinic"/>
    <s v="Dr. Okafor"/>
    <s v="Hypertension"/>
    <s v="First Visit"/>
    <s v="163/85"/>
    <n v="94"/>
    <n v="36.6"/>
    <n v="36.6"/>
    <n v="107.2"/>
    <n v="184"/>
    <n v="31.7"/>
    <s v="POS"/>
    <n v="104578"/>
    <s v="Paid"/>
    <s v="Yes"/>
  </r>
  <r>
    <s v="P175"/>
    <s v="Obinna Igwe"/>
    <n v="52"/>
    <s v="Male"/>
    <s v="Kaduna"/>
    <s v="5/2/2023"/>
    <x v="4"/>
    <x v="4"/>
    <s v="General OPD"/>
    <s v="Dr. Chukwu"/>
    <s v="Malaria"/>
    <s v="First Visit"/>
    <s v="132/89"/>
    <n v="79"/>
    <n v="36.4"/>
    <n v="36.4"/>
    <n v="49.5"/>
    <n v="153"/>
    <n v="21.1"/>
    <s v="Bank Transfer"/>
    <n v="117311"/>
    <s v="Paid"/>
    <s v="Yes"/>
  </r>
  <r>
    <s v="P176"/>
    <s v="Patience Dike"/>
    <n v="50"/>
    <s v="Male"/>
    <s v="Oyo"/>
    <s v="6/24/2023"/>
    <x v="9"/>
    <x v="9"/>
    <s v="Dental"/>
    <s v="Dr. Adeyemi"/>
    <s v="Upper Respiratory Infection"/>
    <s v="First Visit"/>
    <s v="135/83"/>
    <n v="92"/>
    <n v="38.6"/>
    <n v="38.6"/>
    <n v="106.4"/>
    <n v="179"/>
    <n v="33.200000000000003"/>
    <s v="NHIS"/>
    <n v="110026"/>
    <s v="Pending"/>
    <s v="No"/>
  </r>
  <r>
    <s v="P177"/>
    <s v="Rotimi Afolabi"/>
    <n v="17"/>
    <s v="Female"/>
    <s v="Oyo"/>
    <s v="11/5/2023"/>
    <x v="0"/>
    <x v="0"/>
    <s v="General OPD"/>
    <s v="Dr. Adeyemi"/>
    <s v="Typhoid Fever"/>
    <s v="Emergency"/>
    <s v="150/72"/>
    <n v="104"/>
    <n v="37.6"/>
    <n v="37.6"/>
    <n v="98.7"/>
    <n v="185"/>
    <n v="28.8"/>
    <s v="POS"/>
    <n v="17886"/>
    <s v="Paid"/>
    <s v="No"/>
  </r>
  <r>
    <s v="P178"/>
    <s v="Suleiman Yusuf"/>
    <n v="19"/>
    <s v="Male"/>
    <s v="Rivers"/>
    <s v="4/5/2023"/>
    <x v="7"/>
    <x v="7"/>
    <s v="Cardiology"/>
    <s v="Dr. Okafor"/>
    <s v="Upper Respiratory Infection"/>
    <s v="Routine Check-Up"/>
    <s v="123/76"/>
    <n v="94"/>
    <n v="39.5"/>
    <n v="39.5"/>
    <n v="93.3"/>
    <n v="165"/>
    <n v="34.299999999999997"/>
    <s v="POS"/>
    <n v="4808"/>
    <s v="Paid"/>
    <s v="No"/>
  </r>
  <r>
    <s v="P179"/>
    <s v="Taiwo Ajayi"/>
    <n v="24"/>
    <s v="Female"/>
    <s v="Delta"/>
    <s v="1/17/2023"/>
    <x v="5"/>
    <x v="5"/>
    <s v="General OPD"/>
    <s v="Dr. Adeyemi"/>
    <s v="Diabetes"/>
    <s v="Routine Check-Up"/>
    <s v="165/70"/>
    <n v="104"/>
    <n v="39"/>
    <n v="39"/>
    <n v="67.5"/>
    <n v="187"/>
    <n v="19.3"/>
    <s v="Bank Transfer"/>
    <n v="12946"/>
    <s v="Unpaid"/>
    <s v="No"/>
  </r>
  <r>
    <s v="P180"/>
    <s v="Uche Okonkwo"/>
    <n v="72"/>
    <s v="Male"/>
    <s v="Rivers"/>
    <s v="3/9/2023"/>
    <x v="10"/>
    <x v="10"/>
    <s v="Eye Clinic"/>
    <s v="Dr. Okafor"/>
    <s v="Malaria"/>
    <s v="Follow-Up"/>
    <s v="126/83"/>
    <n v="106"/>
    <n v="37.6"/>
    <n v="37.6"/>
    <n v="80.400000000000006"/>
    <n v="172"/>
    <n v="27.2"/>
    <s v="HMO"/>
    <n v="44203"/>
    <s v="Paid"/>
    <s v="No"/>
  </r>
  <r>
    <s v="P181"/>
    <s v="Amara Okafor"/>
    <n v="66"/>
    <s v="Female"/>
    <s v="Enugu"/>
    <s v="1/11/2023"/>
    <x v="5"/>
    <x v="5"/>
    <s v="Cardiology"/>
    <s v="Dr. Ibrahim"/>
    <s v="Asthma"/>
    <s v="First Visit"/>
    <s v="123/69"/>
    <n v="77"/>
    <n v="37.299999999999997"/>
    <n v="37.299999999999997"/>
    <n v="44.4"/>
    <n v="164"/>
    <n v="16.5"/>
    <s v="HMO"/>
    <n v="77574"/>
    <s v="Pending"/>
    <s v="Yes"/>
  </r>
  <r>
    <s v="P182"/>
    <s v="Bola Adeyemi"/>
    <n v="9"/>
    <s v="Male"/>
    <s v="Enugu"/>
    <s v="8/7/2023"/>
    <x v="8"/>
    <x v="8"/>
    <s v="Dental"/>
    <s v="Dr. Okafor"/>
    <s v="Hypertension"/>
    <s v="Emergency"/>
    <s v="141/75"/>
    <n v="110"/>
    <n v="39.299999999999997"/>
    <n v="39.299999999999997"/>
    <n v="87.7"/>
    <n v="167"/>
    <n v="31.4"/>
    <s v="HMO"/>
    <n v="99931"/>
    <s v="Unpaid"/>
    <s v="Yes"/>
  </r>
  <r>
    <s v="P183"/>
    <s v="Chidi Nwosu"/>
    <n v="49"/>
    <s v="Female"/>
    <s v="Oyo"/>
    <s v="1/31/2023"/>
    <x v="5"/>
    <x v="5"/>
    <s v="Dental"/>
    <s v="Dr. Chukwu"/>
    <s v="Anaemia"/>
    <s v="Routine Check-Up"/>
    <s v="169/83"/>
    <n v="75"/>
    <n v="38.799999999999997"/>
    <n v="38.799999999999997"/>
    <n v="109.8"/>
    <n v="157"/>
    <n v="44.5"/>
    <s v="Cash"/>
    <n v="29917"/>
    <s v="Paid"/>
    <s v="No"/>
  </r>
  <r>
    <s v="P184"/>
    <s v="Dupe Fashola"/>
    <n v="56"/>
    <s v="Female"/>
    <s v="Kaduna"/>
    <s v="10/19/2023"/>
    <x v="11"/>
    <x v="11"/>
    <s v="Diabetes Clinic"/>
    <s v="Dr. Bello"/>
    <s v="Asthma"/>
    <s v="First Visit"/>
    <s v="123/79"/>
    <n v="106"/>
    <n v="37.1"/>
    <n v="37.1"/>
    <n v="90.9"/>
    <n v="183"/>
    <n v="27.1"/>
    <s v="HMO"/>
    <n v="12633"/>
    <s v="Paid"/>
    <s v="Yes"/>
  </r>
  <r>
    <s v="P185"/>
    <s v="Emeka Eze"/>
    <n v="27"/>
    <s v="Female"/>
    <s v="Oyo"/>
    <s v="8/28/2023"/>
    <x v="8"/>
    <x v="8"/>
    <s v="Diabetes Clinic"/>
    <s v="Dr. Ibrahim"/>
    <s v="Hypertension"/>
    <s v="Routine Check-Up"/>
    <s v="145/71"/>
    <n v="77"/>
    <n v="39.1"/>
    <n v="39.1"/>
    <n v="78.3"/>
    <n v="158"/>
    <n v="31.4"/>
    <s v="HMO"/>
    <n v="34051"/>
    <s v="Pending"/>
    <s v="Yes"/>
  </r>
  <r>
    <s v="P186"/>
    <s v="Fatima Bello"/>
    <n v="32"/>
    <s v="Male"/>
    <s v="Kaduna"/>
    <s v="8/18/2023"/>
    <x v="8"/>
    <x v="8"/>
    <s v="Cardiology"/>
    <s v="Dr. Okafor"/>
    <s v="Upper Respiratory Infection"/>
    <s v="First Visit"/>
    <s v="130/75"/>
    <n v="106"/>
    <n v="36.200000000000003"/>
    <n v="36.200000000000003"/>
    <n v="49"/>
    <n v="151"/>
    <n v="21.5"/>
    <s v="NHIS"/>
    <n v="12626"/>
    <s v="Pending"/>
    <s v="No"/>
  </r>
  <r>
    <s v="P187"/>
    <s v="Garba Musa"/>
    <n v="22"/>
    <s v="Male"/>
    <s v="Enugu"/>
    <s v="5/19/2023"/>
    <x v="4"/>
    <x v="4"/>
    <s v="Eye Clinic"/>
    <s v="Dr. Adeyemi"/>
    <s v="Anaemia"/>
    <s v="First Visit"/>
    <s v="132/80"/>
    <n v="80"/>
    <n v="39"/>
    <n v="39"/>
    <n v="41.9"/>
    <n v="179"/>
    <n v="13.1"/>
    <s v="POS"/>
    <n v="82925"/>
    <s v="Pending"/>
    <s v="No"/>
  </r>
  <r>
    <s v="P188"/>
    <s v="Hauwa Ibrahim"/>
    <n v="27"/>
    <s v="Male"/>
    <s v="Kaduna"/>
    <s v="1/24/2023"/>
    <x v="5"/>
    <x v="5"/>
    <s v="General OPD"/>
    <s v="Dr. Okafor"/>
    <s v="Anaemia"/>
    <s v="Routine Check-Up"/>
    <s v="156/76"/>
    <n v="89"/>
    <n v="39.1"/>
    <n v="39.1"/>
    <n v="41.8"/>
    <n v="168"/>
    <n v="14.8"/>
    <s v="Bank Transfer"/>
    <n v="88733"/>
    <s v="Unpaid"/>
    <s v="Yes"/>
  </r>
  <r>
    <s v="P189"/>
    <s v="Ifeanyi Obi"/>
    <n v="58"/>
    <s v="Female"/>
    <s v="Kano"/>
    <s v="2/17/2023"/>
    <x v="2"/>
    <x v="2"/>
    <s v="General OPD"/>
    <s v="Dr. Bello"/>
    <s v="Typhoid Fever"/>
    <s v="Follow-Up"/>
    <s v="172/65"/>
    <n v="82"/>
    <n v="38.799999999999997"/>
    <n v="38.799999999999997"/>
    <n v="69.599999999999994"/>
    <n v="182"/>
    <n v="21"/>
    <s v="Bank Transfer"/>
    <n v="116493"/>
    <s v="Pending"/>
    <s v="Yes"/>
  </r>
  <r>
    <s v="P190"/>
    <s v="Jumoke Lawal"/>
    <n v="47"/>
    <s v="Male"/>
    <s v="Rivers"/>
    <s v="12/31/2023"/>
    <x v="3"/>
    <x v="3"/>
    <s v="Pediatrics"/>
    <s v="Dr. Adeyemi"/>
    <s v="Upper Respiratory Infection"/>
    <s v="Routine Check-Up"/>
    <s v="140/83"/>
    <n v="93"/>
    <n v="37.9"/>
    <n v="37.9"/>
    <n v="59.2"/>
    <n v="164"/>
    <n v="22"/>
    <s v="NHIS"/>
    <n v="76155"/>
    <s v="Unpaid"/>
    <s v="Yes"/>
  </r>
  <r>
    <s v="P191"/>
    <s v="Kabiru Sani"/>
    <n v="51"/>
    <s v="Male"/>
    <s v="Enugu"/>
    <s v="7/25/2023"/>
    <x v="1"/>
    <x v="1"/>
    <s v="General OPD"/>
    <s v="Dr. Adeyemi"/>
    <s v="Asthma"/>
    <s v="Follow-Up"/>
    <s v="120/63"/>
    <n v="94"/>
    <n v="37.799999999999997"/>
    <n v="37.799999999999997"/>
    <n v="78.900000000000006"/>
    <n v="159"/>
    <n v="31.2"/>
    <s v="HMO"/>
    <n v="82439"/>
    <s v="Unpaid"/>
    <s v="Yes"/>
  </r>
  <r>
    <s v="P192"/>
    <s v="Lola Adeleke"/>
    <n v="27"/>
    <s v="Male"/>
    <s v="Lagos"/>
    <s v="6/29/2023"/>
    <x v="9"/>
    <x v="9"/>
    <s v="Dental"/>
    <s v="Dr. Bello"/>
    <s v="Eye Infection"/>
    <s v="Routine Check-Up"/>
    <s v="132/82"/>
    <n v="84"/>
    <n v="37.6"/>
    <n v="37.6"/>
    <n v="62.7"/>
    <n v="149"/>
    <n v="28.2"/>
    <s v="NHIS"/>
    <n v="89511"/>
    <s v="Pending"/>
    <s v="Yes"/>
  </r>
  <r>
    <s v="P193"/>
    <s v="Musa Dangote"/>
    <n v="13"/>
    <s v="Female"/>
    <s v="Oyo"/>
    <s v="1/31/2023"/>
    <x v="5"/>
    <x v="5"/>
    <s v="Cardiology"/>
    <s v="Dr. Okafor"/>
    <s v="Gastroenteritis"/>
    <s v="Routine Check-Up"/>
    <s v="153/74"/>
    <n v="61"/>
    <n v="36.9"/>
    <n v="36.9"/>
    <n v="58.4"/>
    <n v="175"/>
    <n v="19.100000000000001"/>
    <s v="Cash"/>
    <n v="33327"/>
    <s v="Unpaid"/>
    <s v="Yes"/>
  </r>
  <r>
    <s v="P194"/>
    <s v="Ngozi Eze"/>
    <n v="46"/>
    <s v="Female"/>
    <s v="Rivers"/>
    <s v="6/2/2023"/>
    <x v="9"/>
    <x v="9"/>
    <s v="Pediatrics"/>
    <s v="Dr. Bello"/>
    <s v="Asthma"/>
    <s v="Follow-Up"/>
    <s v="166/77"/>
    <n v="108"/>
    <n v="36.5"/>
    <n v="36.5"/>
    <n v="61"/>
    <n v="153"/>
    <n v="26.1"/>
    <s v="HMO"/>
    <n v="3515"/>
    <s v="Unpaid"/>
    <s v="Yes"/>
  </r>
  <r>
    <s v="P195"/>
    <s v="Obinna Igwe"/>
    <n v="25"/>
    <s v="Female"/>
    <s v="Delta"/>
    <s v="4/19/2023"/>
    <x v="7"/>
    <x v="7"/>
    <s v="Eye Clinic"/>
    <s v="Dr. Adeyemi"/>
    <s v="Typhoid Fever"/>
    <s v="Emergency"/>
    <s v="110/88"/>
    <n v="71"/>
    <n v="37.5"/>
    <n v="37.5"/>
    <n v="49.8"/>
    <n v="167"/>
    <n v="17.899999999999999"/>
    <s v="NHIS"/>
    <n v="108515"/>
    <s v="Paid"/>
    <s v="Yes"/>
  </r>
  <r>
    <s v="P196"/>
    <s v="Patience Dike"/>
    <n v="6"/>
    <s v="Male"/>
    <s v="Rivers"/>
    <s v="3/19/2023"/>
    <x v="10"/>
    <x v="10"/>
    <s v="Eye Clinic"/>
    <s v="Dr. Chukwu"/>
    <s v="Hypertension"/>
    <s v="Follow-Up"/>
    <s v="164/85"/>
    <n v="65"/>
    <n v="37.4"/>
    <n v="37.4"/>
    <n v="85"/>
    <n v="190"/>
    <n v="23.5"/>
    <s v="POS"/>
    <n v="118599"/>
    <s v="Unpaid"/>
    <s v="Yes"/>
  </r>
  <r>
    <s v="P197"/>
    <s v="Rotimi Afolabi"/>
    <n v="35"/>
    <s v="Male"/>
    <s v="Lagos"/>
    <s v="1/20/2023"/>
    <x v="5"/>
    <x v="5"/>
    <s v="Cardiology"/>
    <s v="Dr. Okafor"/>
    <s v="Asthma"/>
    <s v="Follow-Up"/>
    <s v="160/66"/>
    <n v="106"/>
    <n v="36.1"/>
    <n v="36.1"/>
    <n v="109.4"/>
    <n v="168"/>
    <n v="38.799999999999997"/>
    <s v="NHIS"/>
    <n v="118156"/>
    <s v="Paid"/>
    <s v="Yes"/>
  </r>
  <r>
    <s v="P198"/>
    <s v="Suleiman Yusuf"/>
    <n v="67"/>
    <s v="Male"/>
    <s v="Kaduna"/>
    <s v="1/2/2023"/>
    <x v="5"/>
    <x v="5"/>
    <s v="Cardiology"/>
    <s v="Dr. Bello"/>
    <s v="Dental Caries"/>
    <s v="Follow-Up"/>
    <s v="174/92"/>
    <n v="67"/>
    <n v="37.9"/>
    <n v="37.9"/>
    <n v="98.8"/>
    <n v="152"/>
    <n v="42.8"/>
    <s v="HMO"/>
    <n v="31198"/>
    <s v="Paid"/>
    <s v="Yes"/>
  </r>
  <r>
    <s v="P199"/>
    <s v="Taiwo Ajayi"/>
    <n v="39"/>
    <s v="Male"/>
    <s v="Lagos"/>
    <s v="5/16/2023"/>
    <x v="4"/>
    <x v="4"/>
    <s v="Diabetes Clinic"/>
    <s v="Dr. Adeyemi"/>
    <s v="Malaria"/>
    <s v="Follow-Up"/>
    <s v="170/63"/>
    <n v="86"/>
    <n v="38.799999999999997"/>
    <n v="38.799999999999997"/>
    <n v="106.6"/>
    <n v="165"/>
    <n v="39.200000000000003"/>
    <s v="NHIS"/>
    <n v="45691"/>
    <s v="Pending"/>
    <s v="Yes"/>
  </r>
  <r>
    <s v="P200"/>
    <s v="Uche Okonkwo"/>
    <n v="63"/>
    <s v="Female"/>
    <s v="Oyo"/>
    <s v="12/20/2023"/>
    <x v="3"/>
    <x v="3"/>
    <s v="Pediatrics"/>
    <s v="Dr. Chukwu"/>
    <s v="Gastroenteritis"/>
    <s v="Routine Check-Up"/>
    <s v="145/94"/>
    <n v="86"/>
    <n v="37.299999999999997"/>
    <n v="37.299999999999997"/>
    <n v="50.6"/>
    <n v="172"/>
    <n v="17.100000000000001"/>
    <s v="POS"/>
    <n v="108349"/>
    <s v="Paid"/>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455550-5662-47A1-9514-8C1C687C7F68}" name="PivotTable13" cacheId="0" applyNumberFormats="0" applyBorderFormats="0" applyFontFormats="0" applyPatternFormats="0" applyAlignmentFormats="0" applyWidthHeightFormats="1" dataCaption="Values" tag="c43a658d-1b89-43e3-b859-0527f947465a" updatedVersion="8" minRefreshableVersion="5" useAutoFormatting="1" subtotalHiddenItems="1" itemPrintTitles="1" createdVersion="8" indent="0" outline="1" outlineData="1" multipleFieldFilters="0">
  <location ref="A1:B7" firstHeaderRow="1" firstDataRow="1" firstDataCol="1"/>
  <pivotFields count="5">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3"/>
    </i>
    <i>
      <x v="4"/>
    </i>
    <i>
      <x v="2"/>
    </i>
    <i>
      <x v="1"/>
    </i>
    <i>
      <x/>
    </i>
    <i t="grand">
      <x/>
    </i>
  </rowItems>
  <colItems count="1">
    <i/>
  </colItems>
  <dataFields count="1">
    <dataField name="Average of Bill_Amount_NGN" fld="1" subtotal="average" baseField="0" baseItem="0" numFmtId="169"/>
  </dataFields>
  <formats count="1">
    <format dxfId="39">
      <pivotArea outline="0" collapsedLevelsAreSubtotals="1" fieldPosition="0"/>
    </format>
  </format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Bill_Amount_NGN"/>
    <pivotHierarchy dragToData="1"/>
  </pivotHierarchies>
  <pivotTableStyleInfo name="PivotStyleLight16" showRowHeaders="1" showColHeaders="1" showRowStripes="0" showColStripes="0" showLastColumn="1"/>
  <filters count="1">
    <filter fld="2" type="dateBetween" evalOrder="-1" id="4" name="[Staff_Attendance].[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xlsx!Patient_Visits">
        <x15:activeTabTopLevelEntity name="[Patient_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C7CF96-8D8E-45F5-959D-CB618A82B863}" name="PivotTable16" cacheId="9" applyNumberFormats="0" applyBorderFormats="0" applyFontFormats="0" applyPatternFormats="0" applyAlignmentFormats="0" applyWidthHeightFormats="1" dataCaption="Values" tag="1b70be04-bf72-4348-9060-8c26524f8a83" updatedVersion="8" minRefreshableVersion="5" useAutoFormatting="1" subtotalHiddenItems="1" itemPrintTitles="1" createdVersion="8" indent="0" outline="1" outlineData="1" multipleFieldFilters="0" chartFormat="3">
  <location ref="A1:B7" firstHeaderRow="1" firstDataRow="1" firstDataCol="1"/>
  <pivotFields count="5">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3"/>
    </i>
    <i>
      <x v="4"/>
    </i>
    <i>
      <x/>
    </i>
    <i>
      <x v="1"/>
    </i>
    <i>
      <x v="2"/>
    </i>
    <i t="grand">
      <x/>
    </i>
  </rowItems>
  <colItems count="1">
    <i/>
  </colItems>
  <dataFields count="1">
    <dataField name="Count of Patient_ID" fld="1"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5" name="[Staff_Attendance].[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 fld="0" type="count" id="1" iMeasureHier="53">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xlsx!Patient_Visits">
        <x15:activeTabTopLevelEntity name="[Patient_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0B5BF2-4C67-4ACE-8C47-5231D597CA27}" name="PivotTable17" cacheId="1" applyNumberFormats="0" applyBorderFormats="0" applyFontFormats="0" applyPatternFormats="0" applyAlignmentFormats="0" applyWidthHeightFormats="1" dataCaption="Values" tag="660e06ee-db1e-4895-ad6e-2e00e8c9d99a" updatedVersion="8" minRefreshableVersion="5" useAutoFormatting="1" subtotalHiddenItems="1" itemPrintTitles="1" createdVersion="8" indent="0" outline="1" outlineData="1" multipleFieldFilters="0" chartFormat="3">
  <location ref="A1:B4" firstHeaderRow="1"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_ID" fld="1" subtotal="count" showDataAs="percentOfTotal" baseField="0" baseItem="0" numFmtId="168"/>
  </dataFields>
  <formats count="2">
    <format dxfId="38">
      <pivotArea collapsedLevelsAreSubtotals="1" fieldPosition="0">
        <references count="1">
          <reference field="0" count="1">
            <x v="0"/>
          </reference>
        </references>
      </pivotArea>
    </format>
    <format dxfId="37">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4" name="[Staff_Attendance].[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xlsx!Patient_Visits">
        <x15:activeTabTopLevelEntity name="[Patient_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186A8A-08DE-4163-B28A-2601D860EA56}" name="PivotTable18" cacheId="2" applyNumberFormats="0" applyBorderFormats="0" applyFontFormats="0" applyPatternFormats="0" applyAlignmentFormats="0" applyWidthHeightFormats="1" dataCaption="Values" tag="668dc351-a806-44f1-a05c-8ddd855dc8fc" updatedVersion="8" minRefreshableVersion="5" useAutoFormatting="1" subtotalHiddenItems="1" itemPrintTitles="1" createdVersion="8" indent="0" outline="1" outlineData="1" multipleFieldFilters="0" chartFormat="4">
  <location ref="A1:B5"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atient_ID" fld="1" subtotal="count"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2"/>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4" name="[Staff_Attendance].[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xlsx!Patient_Visits">
        <x15:activeTabTopLevelEntity name="[Patient_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601DDE-7901-41C0-92C6-FDD3649CA461}" name="PivotTable19" cacheId="4" applyNumberFormats="0" applyBorderFormats="0" applyFontFormats="0" applyPatternFormats="0" applyAlignmentFormats="0" applyWidthHeightFormats="1" dataCaption="Values" tag="49cab05f-2145-4f46-9783-b286561d44e7" updatedVersion="8" minRefreshableVersion="5" useAutoFormatting="1" subtotalHiddenItems="1" itemPrintTitles="1" createdVersion="8" indent="0" outline="1" outlineData="1" multipleFieldFilters="0" chartFormat="3">
  <location ref="A1:B10" firstHeaderRow="1" firstDataRow="1" firstDataCol="1"/>
  <pivotFields count="4">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v="2"/>
    </i>
    <i>
      <x v="6"/>
    </i>
    <i>
      <x v="5"/>
    </i>
    <i>
      <x v="7"/>
    </i>
    <i>
      <x v="3"/>
    </i>
    <i>
      <x/>
    </i>
    <i>
      <x v="4"/>
    </i>
    <i>
      <x v="1"/>
    </i>
    <i t="grand">
      <x/>
    </i>
  </rowItems>
  <colItems count="1">
    <i/>
  </colItems>
  <dataFields count="1">
    <dataField name="Count of Patient_ID" fld="1"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4" name="[Staff_Attendance].[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xlsx!Patient_Visits">
        <x15:activeTabTopLevelEntity name="[Patient_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F335C6-604F-42A0-8201-872E88092A1E}" name="PivotTable20" cacheId="3" applyNumberFormats="0" applyBorderFormats="0" applyFontFormats="0" applyPatternFormats="0" applyAlignmentFormats="0" applyWidthHeightFormats="1" dataCaption="Values" tag="6110787f-44f1-45ed-8c57-c34f0ab0ae3f" updatedVersion="8" minRefreshableVersion="5" useAutoFormatting="1" subtotalHiddenItems="1" itemPrintTitles="1" createdVersion="8" indent="0" outline="1" outlineData="1" multipleFieldFilters="0" chartFormat="3">
  <location ref="A1:B14" firstHeaderRow="1" firstDataRow="1" firstDataCol="1"/>
  <pivotFields count="5">
    <pivotField axis="axisRow" allDrilled="1" subtotalTop="0" showAll="0" nonAutoSortDefault="1"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Bill_Amount_NGN" fld="1" baseField="0" baseItem="0" numFmtId="167"/>
  </dataFields>
  <formats count="1">
    <format dxfId="36">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1048832"/>
          </reference>
        </references>
      </pivotArea>
    </chartFormat>
    <chartFormat chart="2" format="4">
      <pivotArea type="data" outline="0" fieldPosition="0">
        <references count="2">
          <reference field="4294967294" count="1" selected="0">
            <x v="0"/>
          </reference>
          <reference field="0" count="1" selected="0">
            <x v="1048832"/>
          </reference>
        </references>
      </pivotArea>
    </chartFormat>
    <chartFormat chart="2" format="5">
      <pivotArea type="data" outline="0" fieldPosition="0">
        <references count="2">
          <reference field="4294967294" count="1" selected="0">
            <x v="0"/>
          </reference>
          <reference field="0" count="1" selected="0">
            <x v="11"/>
          </reference>
        </references>
      </pivotArea>
    </chartFormat>
  </chartFormat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4" name="[Staff_Attendance].[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xlsx!Patient_Visits">
        <x15:activeTabTopLevelEntity name="[Patient_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3EB8F8-DE9F-422C-8E72-6D0E04CFE54E}" name="PivotTable21" cacheId="6" applyNumberFormats="0" applyBorderFormats="0" applyFontFormats="0" applyPatternFormats="0" applyAlignmentFormats="0" applyWidthHeightFormats="1" dataCaption="Values" tag="cd0256b7-2da7-4d0f-a557-6c9a8a2318ed" updatedVersion="8" minRefreshableVersion="5" useAutoFormatting="1" subtotalHiddenItems="1" itemPrintTitles="1" createdVersion="8" indent="0" outline="1" outlineData="1" multipleFieldFilters="0" chartFormat="5">
  <location ref="A1:B6" firstHeaderRow="1" firstDataRow="1" firstDataCol="1"/>
  <pivotFields count="5">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2"/>
    </i>
    <i>
      <x v="1"/>
    </i>
    <i>
      <x v="3"/>
    </i>
    <i t="grand">
      <x/>
    </i>
  </rowItems>
  <colItems count="1">
    <i/>
  </colItems>
  <dataFields count="1">
    <dataField name="Sum of Bill_Amount_NGN" fld="1" baseField="0" baseItem="0" numFmtId="170"/>
  </dataFields>
  <formats count="1">
    <format dxfId="3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4" name="[Staff_Attendance].[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xlsx!Patient_Visits">
        <x15:activeTabTopLevelEntity name="[Patient_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A789CF-BCE5-4BE9-B5B2-03C58CA16457}" name="PivotTable22" cacheId="8" applyNumberFormats="0" applyBorderFormats="0" applyFontFormats="0" applyPatternFormats="0" applyAlignmentFormats="0" applyWidthHeightFormats="1" dataCaption="Values" tag="0d2539a3-f8b7-4c1c-a6e0-bfea591130a1" updatedVersion="8" minRefreshableVersion="5" useAutoFormatting="1" subtotalHiddenItems="1" itemPrintTitles="1" createdVersion="8" indent="0" outline="1" outlineData="1" multipleFieldFilters="0" chartFormat="6">
  <location ref="A1:B5" firstHeaderRow="1" firstDataRow="1" firstDataCol="1"/>
  <pivotFields count="5">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1"/>
    </i>
    <i>
      <x/>
    </i>
    <i>
      <x v="2"/>
    </i>
    <i t="grand">
      <x/>
    </i>
  </rowItems>
  <colItems count="1">
    <i/>
  </colItems>
  <dataFields count="1">
    <dataField name="Sum of Total_Price_NGN (Updated)" fld="1" baseField="0" baseItem="0" numFmtId="171"/>
  </dataFields>
  <formats count="1">
    <format dxfId="34">
      <pivotArea outline="0" collapsedLevelsAreSubtotals="1" fieldPosition="0"/>
    </format>
  </format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2"/>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pivotArea type="data" outline="0" fieldPosition="0">
        <references count="2">
          <reference field="4294967294" count="1" selected="0">
            <x v="0"/>
          </reference>
          <reference field="0" count="1" selected="0">
            <x v="0"/>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5" name="[Staff_Attendance].[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 fld="0" type="count" id="1" iMeasureHier="56">
      <autoFilter ref="A1">
        <filterColumn colId="0">
          <top10 val="3" filterVal="3"/>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xlsx!Pharmacy_Sales">
        <x15:activeTabTopLevelEntity name="[Pharmacy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8E4AFA-34DC-4921-8CC0-32B3999A7BAB}" name="PivotTable23" cacheId="7" applyNumberFormats="0" applyBorderFormats="0" applyFontFormats="0" applyPatternFormats="0" applyAlignmentFormats="0" applyWidthHeightFormats="1" dataCaption="Values" tag="74da6fec-a8af-4925-90a6-c113a071f531" updatedVersion="8" minRefreshableVersion="5" useAutoFormatting="1" subtotalHiddenItems="1" itemPrintTitles="1" createdVersion="8" indent="0" outline="1" outlineData="1" multipleFieldFilters="0" chartFormat="6">
  <location ref="A1:B4" firstHeaderRow="1" firstDataRow="1" firstDataCol="1"/>
  <pivotFields count="5">
    <pivotField dataField="1" subtotalTop="0" showAll="0" defaultSubtotal="0"/>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v="1"/>
    </i>
    <i>
      <x/>
    </i>
    <i t="grand">
      <x/>
    </i>
  </rowItems>
  <colItems count="1">
    <i/>
  </colItems>
  <dataFields count="1">
    <dataField name="Sum of Total_Price_NGN (Updated)" fld="0" baseField="0" baseItem="0" numFmtId="170"/>
  </dataFields>
  <formats count="1">
    <format dxfId="33">
      <pivotArea outline="0" collapsedLevelsAreSubtotals="1" fieldPosition="0"/>
    </format>
  </format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1"/>
          </reference>
        </references>
      </pivotArea>
    </chartFormat>
    <chartFormat chart="5" format="8">
      <pivotArea type="data" outline="0" fieldPosition="0">
        <references count="2">
          <reference field="4294967294" count="1" selected="0">
            <x v="0"/>
          </reference>
          <reference field="1" count="1" selected="0">
            <x v="0"/>
          </reference>
        </references>
      </pivotArea>
    </chartFormat>
  </chartFormat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4" name="[Staff_Attendance].[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_Visits]"/>
        <x15:activeTabTopLevelEntity name="[Pharmacy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746BA8E-6C2D-47CE-BECD-21FE9DB6C606}" name="PivotTable24" cacheId="10" applyNumberFormats="0" applyBorderFormats="0" applyFontFormats="0" applyPatternFormats="0" applyAlignmentFormats="0" applyWidthHeightFormats="1" dataCaption="Values" tag="9c1e2dde-adf8-41d0-a85c-54d5668cadae" updatedVersion="8" minRefreshableVersion="5" useAutoFormatting="1" subtotalHiddenItems="1" itemPrintTitles="1" createdVersion="8" indent="0" outline="1" outlineData="1" multipleFieldFilters="0" chartFormat="4">
  <location ref="A1:B4" firstHeaderRow="1"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Sum of Total_Price_NGN (Updated)" fld="0" baseField="0" baseItem="0" numFmtId="170"/>
  </dataFields>
  <formats count="1">
    <format dxfId="32">
      <pivotArea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1"/>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4" name="[Staff_Attendance].[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xlsx!Pharmacy_Sales">
        <x15:activeTabTopLevelEntity name="[Pharmacy_Sales]"/>
        <x15:activeTabTopLevelEntity name="[Patient_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A24B140-6FD0-4498-9DC3-40C5358548B1}" name="PivotTable25" cacheId="5" applyNumberFormats="0" applyBorderFormats="0" applyFontFormats="0" applyPatternFormats="0" applyAlignmentFormats="0" applyWidthHeightFormats="1" dataCaption="Values" tag="f96ae377-7226-469e-aa39-e7ae466688bf" updatedVersion="8" minRefreshableVersion="5" useAutoFormatting="1" subtotalHiddenItems="1" itemPrintTitles="1" createdVersion="8" indent="0" outline="1" outlineData="1" multipleFieldFilters="0" chartFormat="3">
  <location ref="A4:F11" firstHeaderRow="1" firstDataRow="2" firstDataCol="1"/>
  <pivotFields count="6">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1"/>
    </i>
    <i>
      <x v="2"/>
    </i>
    <i>
      <x v="4"/>
    </i>
    <i>
      <x v="3"/>
    </i>
    <i>
      <x/>
    </i>
    <i t="grand">
      <x/>
    </i>
  </rowItems>
  <colFields count="1">
    <field x="2"/>
  </colFields>
  <colItems count="5">
    <i>
      <x/>
    </i>
    <i>
      <x v="1"/>
    </i>
    <i>
      <x v="2"/>
    </i>
    <i>
      <x v="3"/>
    </i>
    <i t="grand">
      <x/>
    </i>
  </colItems>
  <dataFields count="1">
    <dataField name="Count of Patient_ID" fld="0" subtotal="count" baseField="0" baseItem="0"/>
  </dataField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2" format="8" series="1">
      <pivotArea type="data" outline="0" fieldPosition="0">
        <references count="2">
          <reference field="4294967294" count="1" selected="0">
            <x v="0"/>
          </reference>
          <reference field="2" count="1" selected="0">
            <x v="0"/>
          </reference>
        </references>
      </pivotArea>
    </chartFormat>
    <chartFormat chart="2" format="9" series="1">
      <pivotArea type="data" outline="0" fieldPosition="0">
        <references count="2">
          <reference field="4294967294" count="1" selected="0">
            <x v="0"/>
          </reference>
          <reference field="2" count="1" selected="0">
            <x v="1"/>
          </reference>
        </references>
      </pivotArea>
    </chartFormat>
    <chartFormat chart="2" format="10" series="1">
      <pivotArea type="data" outline="0" fieldPosition="0">
        <references count="2">
          <reference field="4294967294" count="1" selected="0">
            <x v="0"/>
          </reference>
          <reference field="2" count="1" selected="0">
            <x v="2"/>
          </reference>
        </references>
      </pivotArea>
    </chartFormat>
    <chartFormat chart="2" format="11" series="1">
      <pivotArea type="data" outline="0" fieldPosition="0">
        <references count="2">
          <reference field="4294967294" count="1" selected="0">
            <x v="0"/>
          </reference>
          <reference field="2" count="1" selected="0">
            <x v="3"/>
          </reference>
        </references>
      </pivotArea>
    </chartFormat>
  </chartFormat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4" name="[Staff_Attendance].[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rowHierarchiesUsage count="1">
    <rowHierarchyUsage hierarchyUsage="19"/>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xlsx!Patient_Visits">
        <x15:activeTabTopLevelEntity name="[Patient_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5A1F0B-000A-4EC0-A2AB-FEBD33C0643E}" name="PivotTable10" cacheId="11" applyNumberFormats="0" applyBorderFormats="0" applyFontFormats="0" applyPatternFormats="0" applyAlignmentFormats="0" applyWidthHeightFormats="1" dataCaption="Values" tag="69c7aa20-9caa-41ce-977e-7b3f6bdda500" updatedVersion="8" minRefreshableVersion="5" useAutoFormatting="1" subtotalHiddenItems="1" itemPrintTitles="1" createdVersion="8" indent="0" outline="1" outlineData="1" multipleFieldFilters="0" chartFormat="7">
  <location ref="A3:B10"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3"/>
    </i>
    <i>
      <x/>
    </i>
    <i>
      <x v="4"/>
    </i>
    <i>
      <x v="1"/>
    </i>
    <i>
      <x v="5"/>
    </i>
    <i>
      <x v="2"/>
    </i>
    <i t="grand">
      <x/>
    </i>
  </rowItems>
  <colItems count="1">
    <i/>
  </colItems>
  <dataFields count="1">
    <dataField name="Count of Patient_ID" fld="1"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3"/>
          </reference>
        </references>
      </pivotArea>
    </chartFormat>
  </chartFormat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4" name="[Staff_Attendance].[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harmacy_Sales]"/>
        <x15:activeTabTopLevelEntity name="[Patient_Visits]"/>
        <x15:activeTabTopLevelEntity name="[Staff_Attendanc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90826FA-F273-486A-B8E8-527798A40F0E}" autoFormatId="16" applyNumberFormats="0" applyBorderFormats="0" applyFontFormats="0" applyPatternFormats="0" applyAlignmentFormats="0" applyWidthHeightFormats="0">
  <queryTableRefresh nextId="30">
    <queryTableFields count="22">
      <queryTableField id="1" name="Patient_ID" tableColumnId="1"/>
      <queryTableField id="2" name="Patient_Name" tableColumnId="2"/>
      <queryTableField id="3" name="Age" tableColumnId="3"/>
      <queryTableField id="4" name="Gender" tableColumnId="4"/>
      <queryTableField id="5" name="State" tableColumnId="5"/>
      <queryTableField id="6" name="Visit_Date (Updated)" tableColumnId="6"/>
      <queryTableField id="29" dataBound="0" tableColumnId="23"/>
      <queryTableField id="24" dataBound="0" tableColumnId="22"/>
      <queryTableField id="7" name="Department" tableColumnId="7"/>
      <queryTableField id="8" name="Doctor_Name" tableColumnId="8"/>
      <queryTableField id="9" name="Diagnosis" tableColumnId="9"/>
      <queryTableField id="10" name="Visit_Type" tableColumnId="10"/>
      <queryTableField id="22" name="Blood_Pressure (Updated)" tableColumnId="11"/>
      <queryTableField id="12" name="Heart_Rate_bpm" tableColumnId="12"/>
      <queryTableField id="13" name="Body_Temp (Celsius)" tableColumnId="13"/>
      <queryTableField id="15" name="Weight_kg" tableColumnId="15"/>
      <queryTableField id="16" name="Height_cm" tableColumnId="16"/>
      <queryTableField id="17" name="BMI" tableColumnId="17"/>
      <queryTableField id="18" name="Payment_Method" tableColumnId="18"/>
      <queryTableField id="19" name="Bill_Amount_NGN" tableColumnId="19"/>
      <queryTableField id="20" name="Payment_Status (Updated)" tableColumnId="20"/>
      <queryTableField id="21" name="Follow_Up_Needed" tableColumnId="21"/>
    </queryTableFields>
    <queryTableDeletedFields count="1">
      <deletedField name="Body_Temp_C"/>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CA15407D-44EE-48D4-83E9-0045BB70D849}" autoFormatId="16" applyNumberFormats="0" applyBorderFormats="0" applyFontFormats="0" applyPatternFormats="0" applyAlignmentFormats="0" applyWidthHeightFormats="0">
  <queryTableRefresh nextId="16">
    <queryTableFields count="14">
      <queryTableField id="1" name="Sale_ID" tableColumnId="1"/>
      <queryTableField id="2" name="Patient_ID" tableColumnId="2"/>
      <queryTableField id="3" name="Sale_Date (Updated)" tableColumnId="3"/>
      <queryTableField id="4" name="Drug_Name" tableColumnId="4"/>
      <queryTableField id="5" name="Quantity_Sold" tableColumnId="5"/>
      <queryTableField id="6" name="Unit_Price_NGN" tableColumnId="6"/>
      <queryTableField id="7" name="Total_Price_NGN (Updated)" tableColumnId="7"/>
      <queryTableField id="8" name="Pharmacist" tableColumnId="8"/>
      <queryTableField id="9" name="Prescription_Required" tableColumnId="9"/>
      <queryTableField id="10" name="Prescription_Provided" tableColumnId="10"/>
      <queryTableField id="11" name="Prescription_Compliance" tableColumnId="11"/>
      <queryTableField id="12" name="Stock_After_Sale" tableColumnId="12"/>
      <queryTableField id="13" name="Expiry_Date" tableColumnId="13"/>
      <queryTableField id="14" name="Expiry_Drug_Sold"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ADB1892F-5A95-43CB-BF61-60238E87B774}" autoFormatId="16" applyNumberFormats="0" applyBorderFormats="0" applyFontFormats="0" applyPatternFormats="0" applyAlignmentFormats="0" applyWidthHeightFormats="0">
  <queryTableRefresh nextId="16">
    <queryTableFields count="10">
      <queryTableField id="1" name="Record_ID" tableColumnId="1"/>
      <queryTableField id="2" name="Staff_Name" tableColumnId="2"/>
      <queryTableField id="3" name="Staff_Role" tableColumnId="3"/>
      <queryTableField id="4" name="Department" tableColumnId="4"/>
      <queryTableField id="5" name="Date" tableColumnId="5"/>
      <queryTableField id="11" name="Clock_In (Updated)" tableColumnId="6"/>
      <queryTableField id="12" name="Clock_Out (Updated)" tableColumnId="7"/>
      <queryTableField id="13" name="Hours_Worked (Updated)" tableColumnId="8"/>
      <queryTableField id="14" name="Shift_Type (Updated)" tableColumnId="9"/>
      <queryTableField id="15" name="Attendance_Status (Updated)"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038576A-1B2D-4020-8AC4-20E9D7316661}" sourceName="[Patient_Visits].[Department]">
  <pivotTables>
    <pivotTable tabId="24" name="PivotTable10"/>
    <pivotTable tabId="6" name="PivotTable13"/>
    <pivotTable tabId="15" name="PivotTable24"/>
    <pivotTable tabId="8" name="PivotTable17"/>
    <pivotTable tabId="9" name="PivotTable18"/>
    <pivotTable tabId="11" name="PivotTable20"/>
    <pivotTable tabId="10" name="PivotTable19"/>
    <pivotTable tabId="16" name="PivotTable25"/>
    <pivotTable tabId="12" name="PivotTable21"/>
    <pivotTable tabId="14" name="PivotTable23"/>
    <pivotTable tabId="13" name="PivotTable22"/>
    <pivotTable tabId="7" name="PivotTable16"/>
  </pivotTables>
  <data>
    <olap pivotCacheId="2079273335">
      <levels count="2">
        <level uniqueName="[Patient_Visits].[Department].[(All)]" sourceCaption="(All)" count="0"/>
        <level uniqueName="[Patient_Visits].[Department].[Department]" sourceCaption="Department" count="7">
          <ranges>
            <range startItem="0">
              <i n="[Patient_Visits].[Department].&amp;[Cardiology]" c="Cardiology"/>
              <i n="[Patient_Visits].[Department].&amp;[Dental]" c="Dental"/>
              <i n="[Patient_Visits].[Department].&amp;[Diabetes Clinic]" c="Diabetes Clinic"/>
              <i n="[Patient_Visits].[Department].&amp;[Eye Clinic]" c="Eye Clinic"/>
              <i n="[Patient_Visits].[Department].&amp;[General OPD]" c="General OPD"/>
              <i n="[Patient_Visits].[Department].&amp;[Pediatrics]" c="Pediatrics"/>
              <i n="[Patient_Visits].[Department].&amp;" c="(blank)"/>
            </range>
          </ranges>
        </level>
      </levels>
      <selections count="1">
        <selection n="[Patient_Visits].[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644DA93-D316-435D-B3E1-DAC8BAA088FA}" sourceName="[Patient_Visits].[State]">
  <pivotTables>
    <pivotTable tabId="24" name="PivotTable10"/>
    <pivotTable tabId="6" name="PivotTable13"/>
    <pivotTable tabId="15" name="PivotTable24"/>
    <pivotTable tabId="8" name="PivotTable17"/>
    <pivotTable tabId="9" name="PivotTable18"/>
    <pivotTable tabId="11" name="PivotTable20"/>
    <pivotTable tabId="10" name="PivotTable19"/>
    <pivotTable tabId="16" name="PivotTable25"/>
    <pivotTable tabId="12" name="PivotTable21"/>
    <pivotTable tabId="14" name="PivotTable23"/>
    <pivotTable tabId="13" name="PivotTable22"/>
    <pivotTable tabId="7" name="PivotTable16"/>
  </pivotTables>
  <data>
    <olap pivotCacheId="2079273335">
      <levels count="2">
        <level uniqueName="[Patient_Visits].[State].[(All)]" sourceCaption="(All)" count="0"/>
        <level uniqueName="[Patient_Visits].[State].[State]" sourceCaption="State" count="9">
          <ranges>
            <range startItem="0">
              <i n="[Patient_Visits].[State].&amp;[Abuja]" c="Abuja"/>
              <i n="[Patient_Visits].[State].&amp;[Delta]" c="Delta"/>
              <i n="[Patient_Visits].[State].&amp;[Enugu]" c="Enugu"/>
              <i n="[Patient_Visits].[State].&amp;[Kaduna]" c="Kaduna"/>
              <i n="[Patient_Visits].[State].&amp;[Kano]" c="Kano"/>
              <i n="[Patient_Visits].[State].&amp;[Lagos]" c="Lagos"/>
              <i n="[Patient_Visits].[State].&amp;[Oyo]" c="Oyo"/>
              <i n="[Patient_Visits].[State].&amp;[Rivers]" c="Rivers"/>
              <i n="[Patient_Visits].[State].&amp;" c="(blank)"/>
            </range>
          </ranges>
        </level>
      </levels>
      <selections count="1">
        <selection n="[Patient_Visits].[Sta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E2676490-906B-488C-ADFB-AC2F8FC42755}" sourceName="[Patient_Visits].[Month]">
  <pivotTables>
    <pivotTable tabId="11" name="PivotTable20"/>
  </pivotTables>
  <data>
    <olap pivotCacheId="2079273335">
      <levels count="2">
        <level uniqueName="[Patient_Visits].[Month].[(All)]" sourceCaption="(All)" count="0"/>
        <level uniqueName="[Patient_Visits].[Month].[Month]" sourceCaption="Month" count="13">
          <ranges>
            <range startItem="0">
              <i n="[Patient_Visits].[Month].&amp;[April]" c="April"/>
              <i n="[Patient_Visits].[Month].&amp;[August]" c="August"/>
              <i n="[Patient_Visits].[Month].&amp;[December]" c="December"/>
              <i n="[Patient_Visits].[Month].&amp;[February]" c="February"/>
              <i n="[Patient_Visits].[Month].&amp;[January]" c="January"/>
              <i n="[Patient_Visits].[Month].&amp;[July]" c="July"/>
              <i n="[Patient_Visits].[Month].&amp;[June]" c="June"/>
              <i n="[Patient_Visits].[Month].&amp;[March]" c="March"/>
              <i n="[Patient_Visits].[Month].&amp;[May]" c="May"/>
              <i n="[Patient_Visits].[Month].&amp;[November]" c="November"/>
              <i n="[Patient_Visits].[Month].&amp;[October]" c="October"/>
              <i n="[Patient_Visits].[Month].&amp;[September]" c="September"/>
              <i n="[Patient_Visits].[Month].&amp;" c="(blank)" nd="1"/>
            </range>
          </ranges>
        </level>
      </levels>
      <selections count="1">
        <selection n="[Patient_Visits].[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809F3B73-BFB3-4CD6-BABB-E021FC628361}" sourceName="Month">
  <data>
    <tabular pivotCacheId="290031950">
      <items count="12">
        <i x="5" s="1"/>
        <i x="2" s="1"/>
        <i x="10" s="1"/>
        <i x="7" s="1"/>
        <i x="4" s="1"/>
        <i x="9" s="1"/>
        <i x="1" s="1"/>
        <i x="8" s="1"/>
        <i x="6" s="1"/>
        <i x="1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4D094D3B-135F-4E02-82AF-1AD2B8D57527}" cache="Slicer_Month1" caption="Month"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558FE38-F052-46EB-8E65-4308DEE15B0F}" cache="Slicer_Department" caption="Department" level="1" rowHeight="257175"/>
  <slicer name="State" xr10:uid="{916B0023-8858-4F4D-BD24-38E3F83763AF}" cache="Slicer_State" caption="State" level="1" rowHeight="257175"/>
  <slicer name="Month" xr10:uid="{E48CD2E4-7714-435C-B5B7-DE45184131AE}" cache="Slicer_Month2" caption="Month"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72A7DCB4-67CA-436F-BC1F-3DC8C1BFC174}" cache="Slicer_Department" caption="Department" level="1" style="SlicerStyleDark3" rowHeight="257175"/>
  <slicer name="State 1" xr10:uid="{522F2613-1BD1-452A-B136-718593128123}" cache="Slicer_State" caption="State" startItem="4" level="1" style="SlicerStyleDark3" rowHeight="257175"/>
  <slicer name="Month 2" xr10:uid="{7872E5B1-6EF5-4842-8E23-FF7D2E9EBDED}" cache="Slicer_Month2" caption="Month" style="SlicerStyleDark3"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2D7197-638F-4B6C-8BDE-D8CDB5C275BA}" name="Patient_Visits" displayName="Patient_Visits" ref="A1:V191" tableType="queryTable" totalsRowShown="0">
  <autoFilter ref="A1:V191" xr:uid="{432D7197-638F-4B6C-8BDE-D8CDB5C275BA}"/>
  <tableColumns count="22">
    <tableColumn id="1" xr3:uid="{7A88F46A-BF38-4C06-9D66-EF4BE3D7D93A}" uniqueName="1" name="Patient_ID" queryTableFieldId="1" dataDxfId="31"/>
    <tableColumn id="2" xr3:uid="{1F0CE83F-7363-4982-A49A-D7215E93B246}" uniqueName="2" name="Patient_Name" queryTableFieldId="2" dataDxfId="30"/>
    <tableColumn id="3" xr3:uid="{A90F34B5-CDC1-4500-AE51-BC6E541F9020}" uniqueName="3" name="Age" queryTableFieldId="3"/>
    <tableColumn id="4" xr3:uid="{E777166C-9035-4545-823C-6543AE0CB3D6}" uniqueName="4" name="Gender" queryTableFieldId="4" dataDxfId="29"/>
    <tableColumn id="5" xr3:uid="{3A9569A2-4855-4ACF-84A7-28FC60C25431}" uniqueName="5" name="State" queryTableFieldId="5" dataDxfId="28"/>
    <tableColumn id="6" xr3:uid="{6E9F7D00-8D3B-40A8-B9FB-54C4945C9C62}" uniqueName="6" name="Visit_Date (Updated)" queryTableFieldId="6" dataDxfId="27"/>
    <tableColumn id="23" xr3:uid="{7A85F05C-F10C-4625-A18E-946A39522C59}" uniqueName="23" name="Column1" queryTableFieldId="29" dataDxfId="26">
      <calculatedColumnFormula>TEXT(Patient_Visits[[#This Row],[Visit_Date (Updated)]],"MM")</calculatedColumnFormula>
    </tableColumn>
    <tableColumn id="22" xr3:uid="{02D1896C-25AC-4C30-A1C6-AA52481C23E8}" uniqueName="22" name="Month" queryTableFieldId="24" dataDxfId="25">
      <calculatedColumnFormula>TEXT(Patient_Visits[[#This Row],[Visit_Date (Updated)]],"MMMM")</calculatedColumnFormula>
    </tableColumn>
    <tableColumn id="7" xr3:uid="{0D4E35FA-D1E1-4CEF-8E40-105715EB3FC3}" uniqueName="7" name="Department" queryTableFieldId="7" dataDxfId="24"/>
    <tableColumn id="8" xr3:uid="{52B97596-7124-438C-A99C-236FF5B0E072}" uniqueName="8" name="Doctor_Name" queryTableFieldId="8" dataDxfId="23"/>
    <tableColumn id="9" xr3:uid="{26551C77-0BE1-481E-B8E2-D82CBC51435F}" uniqueName="9" name="Diagnosis" queryTableFieldId="9" dataDxfId="22"/>
    <tableColumn id="10" xr3:uid="{A9267A50-945F-48D5-9F37-F2D421D6D0F5}" uniqueName="10" name="Visit_Type" queryTableFieldId="10" dataDxfId="21"/>
    <tableColumn id="11" xr3:uid="{7ED6AFF6-6221-4A1F-97E2-57B64B519347}" uniqueName="11" name="Blood_Pressure (Updated)" queryTableFieldId="22"/>
    <tableColumn id="12" xr3:uid="{8B20E61B-37A9-4C8B-BF6D-A05B99A39C4A}" uniqueName="12" name="Heart_Rate_bpm" queryTableFieldId="12"/>
    <tableColumn id="13" xr3:uid="{8F60612E-945F-4F5D-89C3-8387747E0C5B}" uniqueName="13" name="Body_Temp (Celsius)" queryTableFieldId="13"/>
    <tableColumn id="15" xr3:uid="{F74950A2-F7DB-40D7-93FA-AEFFDA890E96}" uniqueName="15" name="Weight_kg" queryTableFieldId="15"/>
    <tableColumn id="16" xr3:uid="{D57FE08E-704E-4960-AFC7-B95D567A91B4}" uniqueName="16" name="Height_cm" queryTableFieldId="16"/>
    <tableColumn id="17" xr3:uid="{C8DDB7B4-5E77-4F52-9C4B-CF9BC9FD88BB}" uniqueName="17" name="BMI" queryTableFieldId="17"/>
    <tableColumn id="18" xr3:uid="{A4F6BF1B-0508-4799-BEB8-2D5C3321620F}" uniqueName="18" name="Payment_Method" queryTableFieldId="18" dataDxfId="20"/>
    <tableColumn id="19" xr3:uid="{3215D6B9-6925-498D-98DF-78B7C54898A0}" uniqueName="19" name="Bill_Amount_NGN" queryTableFieldId="19"/>
    <tableColumn id="20" xr3:uid="{DFFC87EF-167B-4BC9-B6D0-E610FFE30C38}" uniqueName="20" name="Payment_Status (Updated)" queryTableFieldId="20" dataDxfId="19"/>
    <tableColumn id="21" xr3:uid="{CE10FD88-A3A3-4531-94B1-C514322C0071}" uniqueName="21" name="Follow_Up_Needed" queryTableFieldId="21"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320FE0-83D8-4D7D-A4B8-DD49F64FCBBE}" name="Pharmacy_Sales" displayName="Pharmacy_Sales" ref="A1:N143" tableType="queryTable" totalsRowShown="0">
  <autoFilter ref="A1:N143" xr:uid="{0A320FE0-83D8-4D7D-A4B8-DD49F64FCBBE}"/>
  <tableColumns count="14">
    <tableColumn id="1" xr3:uid="{F955C2C5-5450-43BA-BE51-0109EBFC7E22}" uniqueName="1" name="Sale_ID" queryTableFieldId="1" dataDxfId="17"/>
    <tableColumn id="2" xr3:uid="{9256D6A1-B385-4903-8B65-84D19215108C}" uniqueName="2" name="Patient_ID" queryTableFieldId="2" dataDxfId="16"/>
    <tableColumn id="3" xr3:uid="{1663C7D4-3B32-4363-B58D-96BC050635AC}" uniqueName="3" name="Sale_Date (Updated)" queryTableFieldId="3" dataDxfId="15"/>
    <tableColumn id="4" xr3:uid="{4C12C794-EF3B-40A5-BFB5-EB57EC102453}" uniqueName="4" name="Drug_Name" queryTableFieldId="4" dataDxfId="14"/>
    <tableColumn id="5" xr3:uid="{2684AEED-0BC2-4B0E-B149-CE123FACFB51}" uniqueName="5" name="Quantity_Sold" queryTableFieldId="5"/>
    <tableColumn id="6" xr3:uid="{919AB87F-39A4-4A1A-A173-175CAA5600A9}" uniqueName="6" name="Unit_Price_NGN" queryTableFieldId="6"/>
    <tableColumn id="7" xr3:uid="{65992BC1-A1F1-47B1-B9B0-037748768F9B}" uniqueName="7" name="Total_Price_NGN (Updated)" queryTableFieldId="7"/>
    <tableColumn id="8" xr3:uid="{9918F514-BCF8-4D21-A166-E7AA79BD3CFB}" uniqueName="8" name="Pharmacist" queryTableFieldId="8" dataDxfId="13"/>
    <tableColumn id="9" xr3:uid="{27F4A104-C479-4E0A-9DB7-C548FA84E262}" uniqueName="9" name="Prescription_Required" queryTableFieldId="9" dataDxfId="12"/>
    <tableColumn id="10" xr3:uid="{6EE6F1D3-581F-4AFF-816F-CACDC41F76D4}" uniqueName="10" name="Prescription_Provided" queryTableFieldId="10" dataDxfId="11"/>
    <tableColumn id="11" xr3:uid="{5089105B-D1FE-4938-A9EA-D4AD3E0A440D}" uniqueName="11" name="Prescription_Compliance" queryTableFieldId="11"/>
    <tableColumn id="12" xr3:uid="{EE3A77A1-173E-4836-B6C9-FE71089F8600}" uniqueName="12" name="Stock_After_Sale" queryTableFieldId="12"/>
    <tableColumn id="13" xr3:uid="{8CFC961D-96A0-4869-8A12-E9FD6CDC8706}" uniqueName="13" name="Expiry_Date" queryTableFieldId="13" dataDxfId="10"/>
    <tableColumn id="14" xr3:uid="{442570EA-F667-4B68-BCD3-C287218CBB4D}" uniqueName="14" name="Expiry_Drug_Sold" queryTableFieldId="14" dataDxf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E9F3FF-71B6-4BEF-9067-FDCD8AEF9C22}" name="Staff_Attendance" displayName="Staff_Attendance" ref="A1:J101" tableType="queryTable" totalsRowShown="0">
  <autoFilter ref="A1:J101" xr:uid="{5FE9F3FF-71B6-4BEF-9067-FDCD8AEF9C22}">
    <filterColumn colId="4">
      <customFilters>
        <customFilter operator="notEqual" val=" "/>
      </customFilters>
    </filterColumn>
  </autoFilter>
  <tableColumns count="10">
    <tableColumn id="1" xr3:uid="{EBAC54F3-740C-407D-8AD9-1E279D6BBC6E}" uniqueName="1" name="Record_ID" queryTableFieldId="1" dataDxfId="8"/>
    <tableColumn id="2" xr3:uid="{FC9B2325-098D-4366-9380-8AE75312EFB2}" uniqueName="2" name="Staff_Name" queryTableFieldId="2" dataDxfId="7"/>
    <tableColumn id="3" xr3:uid="{F4CC3EB5-9810-4E25-ACD6-1D751FE92944}" uniqueName="3" name="Staff_Role" queryTableFieldId="3" dataDxfId="6"/>
    <tableColumn id="4" xr3:uid="{046F917A-C473-445C-8C98-2CE19DEA42BF}" uniqueName="4" name="Department" queryTableFieldId="4" dataDxfId="5"/>
    <tableColumn id="5" xr3:uid="{08E825DF-97F4-4652-B6D9-88431F41EB4F}" uniqueName="5" name="Date" queryTableFieldId="5" dataDxfId="4"/>
    <tableColumn id="6" xr3:uid="{4EFDD08D-F3AA-4C52-9191-DB2F19B98A79}" uniqueName="6" name="Clock_In (Updated)" queryTableFieldId="11" dataDxfId="3"/>
    <tableColumn id="7" xr3:uid="{1A67CFFC-1B1D-48FF-8FA1-7A3E08521800}" uniqueName="7" name="Clock_Out (Updated)" queryTableFieldId="12" dataDxfId="2"/>
    <tableColumn id="8" xr3:uid="{59403E79-9561-4443-A87A-833620D2F0D7}" uniqueName="8" name="Hours_Worked (Updated)" queryTableFieldId="13"/>
    <tableColumn id="9" xr3:uid="{11B0009A-7BC4-40B6-8C42-A22D6AD5C622}" uniqueName="9" name="Shift_Type (Updated)" queryTableFieldId="14" dataDxfId="1"/>
    <tableColumn id="10" xr3:uid="{7E83829A-0A93-4196-BC44-F44447CB4169}" uniqueName="10" name="Attendance_Status (Updated)"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bin"/><Relationship Id="rId1" Type="http://schemas.openxmlformats.org/officeDocument/2006/relationships/pivotTable" Target="../pivotTables/pivotTable6.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12E01-3F86-4384-A2AA-241129F431C8}">
  <dimension ref="A1:F8"/>
  <sheetViews>
    <sheetView workbookViewId="0">
      <selection activeCell="C17" sqref="C17"/>
    </sheetView>
  </sheetViews>
  <sheetFormatPr defaultRowHeight="15" x14ac:dyDescent="0.25"/>
  <cols>
    <col min="1" max="1" width="13.42578125" bestFit="1" customWidth="1"/>
    <col min="2" max="2" width="27.28515625" bestFit="1" customWidth="1"/>
    <col min="5" max="5" width="13.28515625" bestFit="1" customWidth="1"/>
    <col min="6" max="6" width="27.28515625" bestFit="1" customWidth="1"/>
  </cols>
  <sheetData>
    <row r="1" spans="1:6" x14ac:dyDescent="0.25">
      <c r="A1" s="12" t="s">
        <v>974</v>
      </c>
      <c r="B1" t="s">
        <v>978</v>
      </c>
    </row>
    <row r="2" spans="1:6" x14ac:dyDescent="0.25">
      <c r="A2" s="13" t="s">
        <v>29</v>
      </c>
      <c r="B2" s="19">
        <v>60305.73684210526</v>
      </c>
      <c r="E2" s="16" t="s">
        <v>974</v>
      </c>
      <c r="F2" s="16" t="s">
        <v>978</v>
      </c>
    </row>
    <row r="3" spans="1:6" x14ac:dyDescent="0.25">
      <c r="A3" s="13" t="s">
        <v>55</v>
      </c>
      <c r="B3" s="19">
        <v>54513.84210526316</v>
      </c>
      <c r="E3" s="13" t="s">
        <v>29</v>
      </c>
      <c r="F3" s="19">
        <v>60305.73684210526</v>
      </c>
    </row>
    <row r="4" spans="1:6" x14ac:dyDescent="0.25">
      <c r="A4" s="13" t="s">
        <v>73</v>
      </c>
      <c r="B4" s="19">
        <v>52482.439024390245</v>
      </c>
      <c r="E4" s="13" t="s">
        <v>55</v>
      </c>
      <c r="F4" s="19">
        <v>54513.84210526316</v>
      </c>
    </row>
    <row r="5" spans="1:6" x14ac:dyDescent="0.25">
      <c r="A5" s="13" t="s">
        <v>41</v>
      </c>
      <c r="B5" s="19">
        <v>51103.88636363636</v>
      </c>
      <c r="E5" s="13" t="s">
        <v>73</v>
      </c>
      <c r="F5" s="19">
        <v>53869.571428571428</v>
      </c>
    </row>
    <row r="6" spans="1:6" x14ac:dyDescent="0.25">
      <c r="A6" s="13" t="s">
        <v>47</v>
      </c>
      <c r="B6" s="19">
        <v>51025.448275862072</v>
      </c>
      <c r="E6" s="13" t="s">
        <v>47</v>
      </c>
      <c r="F6" s="19">
        <v>52773.193548387098</v>
      </c>
    </row>
    <row r="7" spans="1:6" x14ac:dyDescent="0.25">
      <c r="A7" s="13" t="s">
        <v>975</v>
      </c>
      <c r="B7" s="19">
        <v>53911.752631578951</v>
      </c>
      <c r="E7" s="13" t="s">
        <v>41</v>
      </c>
      <c r="F7" s="19">
        <v>52732.108695652176</v>
      </c>
    </row>
    <row r="8" spans="1:6" x14ac:dyDescent="0.25">
      <c r="E8" s="13"/>
      <c r="F8" s="14"/>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B45BA-609B-4F32-A382-51B6F4F470E5}">
  <dimension ref="A1:B7"/>
  <sheetViews>
    <sheetView workbookViewId="0">
      <selection sqref="A1:B7"/>
    </sheetView>
  </sheetViews>
  <sheetFormatPr defaultRowHeight="15" x14ac:dyDescent="0.25"/>
  <cols>
    <col min="1" max="1" width="25.28515625" bestFit="1" customWidth="1"/>
    <col min="2" max="2" width="18.85546875" bestFit="1" customWidth="1"/>
  </cols>
  <sheetData>
    <row r="1" spans="1:2" x14ac:dyDescent="0.25">
      <c r="A1" s="12" t="s">
        <v>974</v>
      </c>
      <c r="B1" t="s">
        <v>976</v>
      </c>
    </row>
    <row r="2" spans="1:2" x14ac:dyDescent="0.25">
      <c r="A2" s="13" t="s">
        <v>38</v>
      </c>
      <c r="B2">
        <v>31</v>
      </c>
    </row>
    <row r="3" spans="1:2" x14ac:dyDescent="0.25">
      <c r="A3" s="13" t="s">
        <v>93</v>
      </c>
      <c r="B3">
        <v>27</v>
      </c>
    </row>
    <row r="4" spans="1:2" x14ac:dyDescent="0.25">
      <c r="A4" s="13" t="s">
        <v>71</v>
      </c>
      <c r="B4">
        <v>24</v>
      </c>
    </row>
    <row r="5" spans="1:2" x14ac:dyDescent="0.25">
      <c r="A5" s="13" t="s">
        <v>26</v>
      </c>
      <c r="B5">
        <v>19</v>
      </c>
    </row>
    <row r="6" spans="1:2" x14ac:dyDescent="0.25">
      <c r="A6" s="13" t="s">
        <v>45</v>
      </c>
      <c r="B6">
        <v>19</v>
      </c>
    </row>
    <row r="7" spans="1:2" x14ac:dyDescent="0.25">
      <c r="A7" s="13" t="s">
        <v>975</v>
      </c>
      <c r="B7">
        <v>120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4CC78-C9FD-4182-8128-6FC1B6E70557}">
  <dimension ref="A1:B4"/>
  <sheetViews>
    <sheetView workbookViewId="0">
      <selection activeCell="L5" sqref="L5"/>
    </sheetView>
  </sheetViews>
  <sheetFormatPr defaultRowHeight="15" x14ac:dyDescent="0.25"/>
  <cols>
    <col min="1" max="1" width="13.42578125" bestFit="1" customWidth="1"/>
    <col min="2" max="2" width="18.85546875" bestFit="1" customWidth="1"/>
  </cols>
  <sheetData>
    <row r="1" spans="1:2" x14ac:dyDescent="0.25">
      <c r="A1" s="12" t="s">
        <v>974</v>
      </c>
      <c r="B1" t="s">
        <v>976</v>
      </c>
    </row>
    <row r="2" spans="1:2" x14ac:dyDescent="0.25">
      <c r="A2" s="13" t="s">
        <v>31</v>
      </c>
      <c r="B2" s="18">
        <v>0.52105263157894732</v>
      </c>
    </row>
    <row r="3" spans="1:2" x14ac:dyDescent="0.25">
      <c r="A3" s="13" t="s">
        <v>56</v>
      </c>
      <c r="B3" s="18">
        <v>0.47894736842105262</v>
      </c>
    </row>
    <row r="4" spans="1:2" x14ac:dyDescent="0.25">
      <c r="A4" s="13" t="s">
        <v>975</v>
      </c>
      <c r="B4" s="18">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5310B-5997-40C8-B4A0-945C40FD03E8}">
  <dimension ref="A1:B5"/>
  <sheetViews>
    <sheetView workbookViewId="0">
      <selection sqref="A1:B5"/>
    </sheetView>
  </sheetViews>
  <sheetFormatPr defaultRowHeight="15" x14ac:dyDescent="0.25"/>
  <cols>
    <col min="1" max="1" width="13.42578125" bestFit="1" customWidth="1"/>
    <col min="2" max="2" width="18.85546875" bestFit="1" customWidth="1"/>
  </cols>
  <sheetData>
    <row r="1" spans="1:2" x14ac:dyDescent="0.25">
      <c r="A1" s="12" t="s">
        <v>974</v>
      </c>
      <c r="B1" t="s">
        <v>976</v>
      </c>
    </row>
    <row r="2" spans="1:2" x14ac:dyDescent="0.25">
      <c r="A2" s="13" t="s">
        <v>67</v>
      </c>
      <c r="B2">
        <v>91</v>
      </c>
    </row>
    <row r="3" spans="1:2" x14ac:dyDescent="0.25">
      <c r="A3" s="13" t="s">
        <v>21</v>
      </c>
      <c r="B3">
        <v>91</v>
      </c>
    </row>
    <row r="4" spans="1:2" x14ac:dyDescent="0.25">
      <c r="A4" s="13" t="s">
        <v>59</v>
      </c>
      <c r="B4">
        <v>8</v>
      </c>
    </row>
    <row r="5" spans="1:2" x14ac:dyDescent="0.25">
      <c r="A5" s="13" t="s">
        <v>975</v>
      </c>
      <c r="B5">
        <v>190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40B40-8AFC-4211-8930-B5F544AFA64C}">
  <dimension ref="A1:E10"/>
  <sheetViews>
    <sheetView workbookViewId="0">
      <selection activeCell="G6" sqref="G6"/>
    </sheetView>
  </sheetViews>
  <sheetFormatPr defaultRowHeight="15" x14ac:dyDescent="0.25"/>
  <cols>
    <col min="1" max="1" width="13.42578125" bestFit="1" customWidth="1"/>
    <col min="2" max="2" width="18.85546875" bestFit="1" customWidth="1"/>
  </cols>
  <sheetData>
    <row r="1" spans="1:5" x14ac:dyDescent="0.25">
      <c r="A1" s="12" t="s">
        <v>974</v>
      </c>
      <c r="B1" t="s">
        <v>976</v>
      </c>
    </row>
    <row r="2" spans="1:5" x14ac:dyDescent="0.25">
      <c r="A2" s="13" t="s">
        <v>34</v>
      </c>
      <c r="B2">
        <v>40</v>
      </c>
    </row>
    <row r="3" spans="1:5" x14ac:dyDescent="0.25">
      <c r="A3" s="13" t="s">
        <v>132</v>
      </c>
      <c r="B3">
        <v>25</v>
      </c>
      <c r="E3" s="13"/>
    </row>
    <row r="4" spans="1:5" x14ac:dyDescent="0.25">
      <c r="A4" s="13" t="s">
        <v>60</v>
      </c>
      <c r="B4">
        <v>25</v>
      </c>
      <c r="E4" s="13"/>
    </row>
    <row r="5" spans="1:5" x14ac:dyDescent="0.25">
      <c r="A5" s="13" t="s">
        <v>139</v>
      </c>
      <c r="B5">
        <v>24</v>
      </c>
      <c r="E5" s="13"/>
    </row>
    <row r="6" spans="1:5" x14ac:dyDescent="0.25">
      <c r="A6" s="13" t="s">
        <v>22</v>
      </c>
      <c r="B6">
        <v>23</v>
      </c>
      <c r="E6" s="13"/>
    </row>
    <row r="7" spans="1:5" x14ac:dyDescent="0.25">
      <c r="A7" s="13" t="s">
        <v>96</v>
      </c>
      <c r="B7">
        <v>20</v>
      </c>
      <c r="E7" s="13"/>
    </row>
    <row r="8" spans="1:5" x14ac:dyDescent="0.25">
      <c r="A8" s="13" t="s">
        <v>116</v>
      </c>
      <c r="B8">
        <v>18</v>
      </c>
      <c r="E8" s="13"/>
    </row>
    <row r="9" spans="1:5" x14ac:dyDescent="0.25">
      <c r="A9" s="13" t="s">
        <v>68</v>
      </c>
      <c r="B9">
        <v>15</v>
      </c>
      <c r="E9" s="13"/>
    </row>
    <row r="10" spans="1:5" x14ac:dyDescent="0.25">
      <c r="A10" s="13" t="s">
        <v>975</v>
      </c>
      <c r="B10">
        <v>190</v>
      </c>
      <c r="E10" s="13"/>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4CB3C-B8E3-45C7-9D14-5A0F228AE8D7}">
  <dimension ref="A1:B14"/>
  <sheetViews>
    <sheetView workbookViewId="0">
      <selection activeCell="A2" sqref="A2:A13"/>
    </sheetView>
  </sheetViews>
  <sheetFormatPr defaultRowHeight="15" x14ac:dyDescent="0.25"/>
  <cols>
    <col min="1" max="1" width="13.42578125" bestFit="1" customWidth="1"/>
    <col min="2" max="2" width="24" bestFit="1" customWidth="1"/>
    <col min="3" max="3" width="8.28515625" bestFit="1" customWidth="1"/>
    <col min="4" max="4" width="8" bestFit="1" customWidth="1"/>
    <col min="5" max="5" width="7.7109375" bestFit="1" customWidth="1"/>
    <col min="6" max="6" width="11.28515625" bestFit="1" customWidth="1"/>
  </cols>
  <sheetData>
    <row r="1" spans="1:2" x14ac:dyDescent="0.25">
      <c r="A1" s="12" t="s">
        <v>974</v>
      </c>
      <c r="B1" t="s">
        <v>977</v>
      </c>
    </row>
    <row r="2" spans="1:2" x14ac:dyDescent="0.25">
      <c r="A2" s="13" t="s">
        <v>983</v>
      </c>
      <c r="B2" s="17">
        <v>1197230</v>
      </c>
    </row>
    <row r="3" spans="1:2" x14ac:dyDescent="0.25">
      <c r="A3" s="13" t="s">
        <v>984</v>
      </c>
      <c r="B3" s="17">
        <v>744509</v>
      </c>
    </row>
    <row r="4" spans="1:2" x14ac:dyDescent="0.25">
      <c r="A4" s="13" t="s">
        <v>985</v>
      </c>
      <c r="B4" s="17">
        <v>607910</v>
      </c>
    </row>
    <row r="5" spans="1:2" x14ac:dyDescent="0.25">
      <c r="A5" s="13" t="s">
        <v>986</v>
      </c>
      <c r="B5" s="17">
        <v>768246</v>
      </c>
    </row>
    <row r="6" spans="1:2" x14ac:dyDescent="0.25">
      <c r="A6" s="13" t="s">
        <v>980</v>
      </c>
      <c r="B6" s="17">
        <v>761533</v>
      </c>
    </row>
    <row r="7" spans="1:2" x14ac:dyDescent="0.25">
      <c r="A7" s="13" t="s">
        <v>987</v>
      </c>
      <c r="B7" s="17">
        <v>732212</v>
      </c>
    </row>
    <row r="8" spans="1:2" x14ac:dyDescent="0.25">
      <c r="A8" s="13" t="s">
        <v>988</v>
      </c>
      <c r="B8" s="17">
        <v>1120303</v>
      </c>
    </row>
    <row r="9" spans="1:2" x14ac:dyDescent="0.25">
      <c r="A9" s="13" t="s">
        <v>989</v>
      </c>
      <c r="B9" s="17">
        <v>973969</v>
      </c>
    </row>
    <row r="10" spans="1:2" x14ac:dyDescent="0.25">
      <c r="A10" s="13" t="s">
        <v>990</v>
      </c>
      <c r="B10" s="17">
        <v>792751</v>
      </c>
    </row>
    <row r="11" spans="1:2" x14ac:dyDescent="0.25">
      <c r="A11" s="13" t="s">
        <v>991</v>
      </c>
      <c r="B11" s="17">
        <v>515372</v>
      </c>
    </row>
    <row r="12" spans="1:2" x14ac:dyDescent="0.25">
      <c r="A12" s="13" t="s">
        <v>992</v>
      </c>
      <c r="B12" s="17">
        <v>799017</v>
      </c>
    </row>
    <row r="13" spans="1:2" x14ac:dyDescent="0.25">
      <c r="A13" s="13" t="s">
        <v>993</v>
      </c>
      <c r="B13" s="17">
        <v>1230181</v>
      </c>
    </row>
    <row r="14" spans="1:2" x14ac:dyDescent="0.25">
      <c r="A14" s="13" t="s">
        <v>975</v>
      </c>
      <c r="B14" s="17">
        <v>10243233</v>
      </c>
    </row>
  </sheetData>
  <sortState xmlns:xlrd2="http://schemas.microsoft.com/office/spreadsheetml/2017/richdata2" ref="A1:B14">
    <sortCondition ref="A2" customList="January,February,March,April,May,June,July,August,September,October,November,December"/>
  </sortState>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33CDD-6CAC-4CA5-9B39-9EA761AB080B}">
  <dimension ref="A1:B6"/>
  <sheetViews>
    <sheetView workbookViewId="0">
      <selection activeCell="N5" sqref="N5"/>
    </sheetView>
  </sheetViews>
  <sheetFormatPr defaultRowHeight="15" x14ac:dyDescent="0.25"/>
  <cols>
    <col min="1" max="1" width="13.42578125" bestFit="1" customWidth="1"/>
    <col min="2" max="2" width="24" bestFit="1" customWidth="1"/>
    <col min="3" max="3" width="11.28515625" bestFit="1" customWidth="1"/>
    <col min="4" max="4" width="8" bestFit="1" customWidth="1"/>
    <col min="5" max="5" width="7.7109375" bestFit="1" customWidth="1"/>
    <col min="6" max="6" width="11.28515625" bestFit="1" customWidth="1"/>
  </cols>
  <sheetData>
    <row r="1" spans="1:2" x14ac:dyDescent="0.25">
      <c r="A1" s="12" t="s">
        <v>974</v>
      </c>
      <c r="B1" t="s">
        <v>977</v>
      </c>
    </row>
    <row r="2" spans="1:2" x14ac:dyDescent="0.25">
      <c r="A2" s="13" t="s">
        <v>30</v>
      </c>
      <c r="B2" s="20">
        <v>4103685</v>
      </c>
    </row>
    <row r="3" spans="1:2" x14ac:dyDescent="0.25">
      <c r="A3" s="13" t="s">
        <v>48</v>
      </c>
      <c r="B3" s="20">
        <v>3317789</v>
      </c>
    </row>
    <row r="4" spans="1:2" x14ac:dyDescent="0.25">
      <c r="A4" s="13" t="s">
        <v>74</v>
      </c>
      <c r="B4" s="20">
        <v>2821759</v>
      </c>
    </row>
    <row r="5" spans="1:2" x14ac:dyDescent="0.25">
      <c r="A5" s="13" t="s">
        <v>152</v>
      </c>
      <c r="B5" s="20">
        <v>0</v>
      </c>
    </row>
    <row r="6" spans="1:2" x14ac:dyDescent="0.25">
      <c r="A6" s="13" t="s">
        <v>975</v>
      </c>
      <c r="B6" s="20">
        <v>10243233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DFA52-8873-4FDB-89AD-29BF74F9B295}">
  <dimension ref="A1:B5"/>
  <sheetViews>
    <sheetView workbookViewId="0">
      <selection activeCell="C10" sqref="C10"/>
    </sheetView>
  </sheetViews>
  <sheetFormatPr defaultRowHeight="15" x14ac:dyDescent="0.25"/>
  <cols>
    <col min="1" max="1" width="23.28515625" bestFit="1" customWidth="1"/>
    <col min="2" max="2" width="32.85546875" bestFit="1" customWidth="1"/>
  </cols>
  <sheetData>
    <row r="1" spans="1:2" x14ac:dyDescent="0.25">
      <c r="A1" s="12" t="s">
        <v>974</v>
      </c>
      <c r="B1" t="s">
        <v>981</v>
      </c>
    </row>
    <row r="2" spans="1:2" x14ac:dyDescent="0.25">
      <c r="A2" s="13" t="s">
        <v>653</v>
      </c>
      <c r="B2" s="21">
        <v>58800</v>
      </c>
    </row>
    <row r="3" spans="1:2" x14ac:dyDescent="0.25">
      <c r="A3" s="13" t="s">
        <v>650</v>
      </c>
      <c r="B3" s="21">
        <v>26250</v>
      </c>
    </row>
    <row r="4" spans="1:2" x14ac:dyDescent="0.25">
      <c r="A4" s="13" t="s">
        <v>638</v>
      </c>
      <c r="B4" s="21">
        <v>20100</v>
      </c>
    </row>
    <row r="5" spans="1:2" x14ac:dyDescent="0.25">
      <c r="A5" s="13" t="s">
        <v>975</v>
      </c>
      <c r="B5" s="21">
        <v>105150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FCC94-F820-460F-83F3-A60B1776BA4C}">
  <dimension ref="A1:E5"/>
  <sheetViews>
    <sheetView workbookViewId="0">
      <selection activeCell="B2" sqref="B2"/>
    </sheetView>
  </sheetViews>
  <sheetFormatPr defaultRowHeight="15" x14ac:dyDescent="0.25"/>
  <cols>
    <col min="1" max="1" width="13.42578125" bestFit="1" customWidth="1"/>
    <col min="2" max="2" width="32.85546875" bestFit="1" customWidth="1"/>
    <col min="5" max="5" width="13.28515625" bestFit="1" customWidth="1"/>
  </cols>
  <sheetData>
    <row r="1" spans="1:5" x14ac:dyDescent="0.25">
      <c r="A1" s="12" t="s">
        <v>974</v>
      </c>
      <c r="B1" t="s">
        <v>981</v>
      </c>
    </row>
    <row r="2" spans="1:5" x14ac:dyDescent="0.25">
      <c r="A2" s="13" t="s">
        <v>56</v>
      </c>
      <c r="B2" s="20">
        <v>179770</v>
      </c>
    </row>
    <row r="3" spans="1:5" x14ac:dyDescent="0.25">
      <c r="A3" s="13" t="s">
        <v>31</v>
      </c>
      <c r="B3" s="20">
        <v>10950</v>
      </c>
    </row>
    <row r="4" spans="1:5" x14ac:dyDescent="0.25">
      <c r="A4" s="13" t="s">
        <v>975</v>
      </c>
      <c r="B4" s="20">
        <v>190720</v>
      </c>
      <c r="D4" s="13"/>
      <c r="E4" s="15"/>
    </row>
    <row r="5" spans="1:5" x14ac:dyDescent="0.25">
      <c r="D5" s="13"/>
      <c r="E5" s="15"/>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E4EDF-A24F-48A4-AA1D-F17AA0CD62BF}">
  <dimension ref="A1:B4"/>
  <sheetViews>
    <sheetView workbookViewId="0">
      <selection activeCell="B13" sqref="B13"/>
    </sheetView>
  </sheetViews>
  <sheetFormatPr defaultRowHeight="15" x14ac:dyDescent="0.25"/>
  <cols>
    <col min="1" max="1" width="13.42578125" bestFit="1" customWidth="1"/>
    <col min="2" max="2" width="32.85546875" bestFit="1" customWidth="1"/>
  </cols>
  <sheetData>
    <row r="1" spans="1:2" x14ac:dyDescent="0.25">
      <c r="A1" s="12" t="s">
        <v>974</v>
      </c>
      <c r="B1" t="s">
        <v>981</v>
      </c>
    </row>
    <row r="2" spans="1:2" x14ac:dyDescent="0.25">
      <c r="A2" s="13" t="s">
        <v>31</v>
      </c>
      <c r="B2" s="20">
        <v>181190</v>
      </c>
    </row>
    <row r="3" spans="1:2" x14ac:dyDescent="0.25">
      <c r="A3" s="13" t="s">
        <v>56</v>
      </c>
      <c r="B3" s="20">
        <v>9530</v>
      </c>
    </row>
    <row r="4" spans="1:2" x14ac:dyDescent="0.25">
      <c r="A4" s="13" t="s">
        <v>975</v>
      </c>
      <c r="B4" s="20">
        <v>190720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DCE81-A991-4473-9F32-F1E5C5A06630}">
  <dimension ref="A4:F11"/>
  <sheetViews>
    <sheetView workbookViewId="0">
      <selection activeCell="D8" sqref="D8"/>
    </sheetView>
  </sheetViews>
  <sheetFormatPr defaultRowHeight="15" x14ac:dyDescent="0.25"/>
  <cols>
    <col min="1" max="1" width="18.85546875" bestFit="1" customWidth="1"/>
    <col min="2" max="2" width="16.85546875" bestFit="1" customWidth="1"/>
    <col min="3" max="3" width="8.28515625" bestFit="1" customWidth="1"/>
    <col min="4" max="4" width="7.28515625" bestFit="1" customWidth="1"/>
    <col min="5" max="5" width="7.7109375" bestFit="1" customWidth="1"/>
    <col min="6" max="6" width="11.28515625" bestFit="1" customWidth="1"/>
  </cols>
  <sheetData>
    <row r="4" spans="1:6" x14ac:dyDescent="0.25">
      <c r="A4" s="12" t="s">
        <v>976</v>
      </c>
      <c r="B4" s="12" t="s">
        <v>982</v>
      </c>
    </row>
    <row r="5" spans="1:6" x14ac:dyDescent="0.25">
      <c r="A5" s="12" t="s">
        <v>974</v>
      </c>
      <c r="B5" t="s">
        <v>30</v>
      </c>
      <c r="C5" t="s">
        <v>74</v>
      </c>
      <c r="D5" t="s">
        <v>48</v>
      </c>
      <c r="E5" t="s">
        <v>152</v>
      </c>
      <c r="F5" t="s">
        <v>975</v>
      </c>
    </row>
    <row r="6" spans="1:6" x14ac:dyDescent="0.25">
      <c r="A6" s="13" t="s">
        <v>41</v>
      </c>
      <c r="B6">
        <v>19</v>
      </c>
      <c r="C6">
        <v>9</v>
      </c>
      <c r="D6">
        <v>14</v>
      </c>
      <c r="E6">
        <v>2</v>
      </c>
      <c r="F6">
        <v>44</v>
      </c>
    </row>
    <row r="7" spans="1:6" x14ac:dyDescent="0.25">
      <c r="A7" s="13" t="s">
        <v>73</v>
      </c>
      <c r="B7">
        <v>20</v>
      </c>
      <c r="C7">
        <v>11</v>
      </c>
      <c r="D7">
        <v>10</v>
      </c>
      <c r="F7">
        <v>41</v>
      </c>
    </row>
    <row r="8" spans="1:6" x14ac:dyDescent="0.25">
      <c r="A8" s="13" t="s">
        <v>55</v>
      </c>
      <c r="B8">
        <v>15</v>
      </c>
      <c r="C8">
        <v>10</v>
      </c>
      <c r="D8">
        <v>11</v>
      </c>
      <c r="E8">
        <v>2</v>
      </c>
      <c r="F8">
        <v>38</v>
      </c>
    </row>
    <row r="9" spans="1:6" x14ac:dyDescent="0.25">
      <c r="A9" s="13" t="s">
        <v>29</v>
      </c>
      <c r="B9">
        <v>9</v>
      </c>
      <c r="C9">
        <v>18</v>
      </c>
      <c r="D9">
        <v>10</v>
      </c>
      <c r="E9">
        <v>1</v>
      </c>
      <c r="F9">
        <v>38</v>
      </c>
    </row>
    <row r="10" spans="1:6" x14ac:dyDescent="0.25">
      <c r="A10" s="13" t="s">
        <v>47</v>
      </c>
      <c r="B10">
        <v>8</v>
      </c>
      <c r="C10">
        <v>3</v>
      </c>
      <c r="D10">
        <v>18</v>
      </c>
      <c r="F10">
        <v>29</v>
      </c>
    </row>
    <row r="11" spans="1:6" x14ac:dyDescent="0.25">
      <c r="A11" s="13" t="s">
        <v>975</v>
      </c>
      <c r="B11">
        <v>71</v>
      </c>
      <c r="C11">
        <v>51</v>
      </c>
      <c r="D11">
        <v>63</v>
      </c>
      <c r="E11">
        <v>5</v>
      </c>
      <c r="F11">
        <v>190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56E56-B9E7-430D-8F82-A65F652A1D94}">
  <dimension ref="A3:B10"/>
  <sheetViews>
    <sheetView workbookViewId="0">
      <selection activeCell="A19" sqref="A19"/>
    </sheetView>
  </sheetViews>
  <sheetFormatPr defaultRowHeight="15" x14ac:dyDescent="0.25"/>
  <cols>
    <col min="1" max="1" width="13.42578125" bestFit="1" customWidth="1"/>
    <col min="2" max="2" width="18.85546875" bestFit="1" customWidth="1"/>
    <col min="3" max="155" width="16.85546875" bestFit="1" customWidth="1"/>
    <col min="156" max="156" width="11.28515625" bestFit="1" customWidth="1"/>
  </cols>
  <sheetData>
    <row r="3" spans="1:2" x14ac:dyDescent="0.25">
      <c r="A3" s="12" t="s">
        <v>974</v>
      </c>
      <c r="B3" t="s">
        <v>976</v>
      </c>
    </row>
    <row r="4" spans="1:2" x14ac:dyDescent="0.25">
      <c r="A4" s="13" t="s">
        <v>52</v>
      </c>
      <c r="B4">
        <v>41</v>
      </c>
    </row>
    <row r="5" spans="1:2" x14ac:dyDescent="0.25">
      <c r="A5" s="13" t="s">
        <v>77</v>
      </c>
      <c r="B5">
        <v>39</v>
      </c>
    </row>
    <row r="6" spans="1:2" x14ac:dyDescent="0.25">
      <c r="A6" s="13" t="s">
        <v>24</v>
      </c>
      <c r="B6">
        <v>35</v>
      </c>
    </row>
    <row r="7" spans="1:2" x14ac:dyDescent="0.25">
      <c r="A7" s="13" t="s">
        <v>36</v>
      </c>
      <c r="B7">
        <v>30</v>
      </c>
    </row>
    <row r="8" spans="1:2" x14ac:dyDescent="0.25">
      <c r="A8" s="13" t="s">
        <v>83</v>
      </c>
      <c r="B8">
        <v>24</v>
      </c>
    </row>
    <row r="9" spans="1:2" x14ac:dyDescent="0.25">
      <c r="A9" s="13" t="s">
        <v>98</v>
      </c>
      <c r="B9">
        <v>21</v>
      </c>
    </row>
    <row r="10" spans="1:2" x14ac:dyDescent="0.25">
      <c r="A10" s="13" t="s">
        <v>975</v>
      </c>
      <c r="B10">
        <v>190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D9907-4399-40F5-B783-54B14643CAED}">
  <dimension ref="A1:V191"/>
  <sheetViews>
    <sheetView topLeftCell="M1" workbookViewId="0">
      <selection activeCell="P1" sqref="P1:P1048576"/>
    </sheetView>
  </sheetViews>
  <sheetFormatPr defaultRowHeight="15" x14ac:dyDescent="0.25"/>
  <cols>
    <col min="1" max="1" width="12.5703125" bestFit="1" customWidth="1"/>
    <col min="2" max="2" width="16" bestFit="1" customWidth="1"/>
    <col min="3" max="3" width="6.5703125" bestFit="1" customWidth="1"/>
    <col min="4" max="4" width="10" bestFit="1" customWidth="1"/>
    <col min="5" max="5" width="8" bestFit="1" customWidth="1"/>
    <col min="6" max="6" width="22.140625" bestFit="1" customWidth="1"/>
    <col min="7" max="7" width="11.42578125" hidden="1" customWidth="1"/>
    <col min="8" max="8" width="10.28515625" bestFit="1" customWidth="1"/>
    <col min="9" max="9" width="14.28515625" bestFit="1" customWidth="1"/>
    <col min="10" max="10" width="15.7109375" bestFit="1" customWidth="1"/>
    <col min="11" max="11" width="25.28515625" bestFit="1" customWidth="1"/>
    <col min="12" max="12" width="16.7109375" bestFit="1" customWidth="1"/>
    <col min="13" max="13" width="27.140625" bestFit="1" customWidth="1"/>
    <col min="14" max="14" width="18.28515625" bestFit="1" customWidth="1"/>
    <col min="15" max="15" width="22.5703125" bestFit="1" customWidth="1"/>
    <col min="16" max="16" width="12.5703125" bestFit="1" customWidth="1"/>
    <col min="17" max="17" width="12.85546875" bestFit="1" customWidth="1"/>
    <col min="18" max="18" width="6.5703125" bestFit="1" customWidth="1"/>
    <col min="19" max="19" width="19" bestFit="1" customWidth="1"/>
    <col min="20" max="20" width="19.28515625" bestFit="1" customWidth="1"/>
    <col min="21" max="21" width="27.5703125" bestFit="1" customWidth="1"/>
    <col min="22" max="22" width="20.7109375" bestFit="1" customWidth="1"/>
  </cols>
  <sheetData>
    <row r="1" spans="1:22" x14ac:dyDescent="0.25">
      <c r="A1" t="s">
        <v>0</v>
      </c>
      <c r="B1" t="s">
        <v>1</v>
      </c>
      <c r="C1" t="s">
        <v>2</v>
      </c>
      <c r="D1" t="s">
        <v>3</v>
      </c>
      <c r="E1" t="s">
        <v>4</v>
      </c>
      <c r="F1" t="s">
        <v>5</v>
      </c>
      <c r="G1" t="s">
        <v>994</v>
      </c>
      <c r="H1" t="s">
        <v>979</v>
      </c>
      <c r="I1" t="s">
        <v>6</v>
      </c>
      <c r="J1" t="s">
        <v>7</v>
      </c>
      <c r="K1" t="s">
        <v>8</v>
      </c>
      <c r="L1" t="s">
        <v>9</v>
      </c>
      <c r="M1" t="s">
        <v>905</v>
      </c>
      <c r="N1" t="s">
        <v>10</v>
      </c>
      <c r="O1" t="s">
        <v>11</v>
      </c>
      <c r="P1" t="s">
        <v>12</v>
      </c>
      <c r="Q1" t="s">
        <v>13</v>
      </c>
      <c r="R1" t="s">
        <v>14</v>
      </c>
      <c r="S1" t="s">
        <v>15</v>
      </c>
      <c r="T1" t="s">
        <v>16</v>
      </c>
      <c r="U1" t="s">
        <v>17</v>
      </c>
      <c r="V1" t="s">
        <v>18</v>
      </c>
    </row>
    <row r="2" spans="1:22" x14ac:dyDescent="0.25">
      <c r="A2" t="s">
        <v>19</v>
      </c>
      <c r="B2" t="s">
        <v>20</v>
      </c>
      <c r="C2">
        <v>46</v>
      </c>
      <c r="D2" t="s">
        <v>21</v>
      </c>
      <c r="E2" t="s">
        <v>22</v>
      </c>
      <c r="F2" t="s">
        <v>23</v>
      </c>
      <c r="G2" t="str">
        <f>TEXT(Patient_Visits[[#This Row],[Visit_Date (Updated)]],"MM")</f>
        <v>11</v>
      </c>
      <c r="H2" t="str">
        <f>TEXT(Patient_Visits[[#This Row],[Visit_Date (Updated)]],"MMMM")</f>
        <v>November</v>
      </c>
      <c r="I2" t="s">
        <v>24</v>
      </c>
      <c r="J2" t="s">
        <v>25</v>
      </c>
      <c r="K2" t="s">
        <v>26</v>
      </c>
      <c r="L2" t="s">
        <v>27</v>
      </c>
      <c r="M2" t="s">
        <v>28</v>
      </c>
      <c r="N2">
        <v>92</v>
      </c>
      <c r="O2">
        <v>36.799999999999997</v>
      </c>
      <c r="P2">
        <v>46</v>
      </c>
      <c r="Q2">
        <v>174</v>
      </c>
      <c r="R2">
        <v>15.2</v>
      </c>
      <c r="S2" t="s">
        <v>29</v>
      </c>
      <c r="T2">
        <v>34544</v>
      </c>
      <c r="U2" t="s">
        <v>30</v>
      </c>
      <c r="V2" t="s">
        <v>31</v>
      </c>
    </row>
    <row r="3" spans="1:22" x14ac:dyDescent="0.25">
      <c r="A3" t="s">
        <v>32</v>
      </c>
      <c r="B3" t="s">
        <v>33</v>
      </c>
      <c r="C3">
        <v>12</v>
      </c>
      <c r="D3" t="s">
        <v>21</v>
      </c>
      <c r="E3" t="s">
        <v>34</v>
      </c>
      <c r="F3" t="s">
        <v>35</v>
      </c>
      <c r="G3" t="str">
        <f>TEXT(Patient_Visits[[#This Row],[Visit_Date (Updated)]],"MM")</f>
        <v>11</v>
      </c>
      <c r="H3" t="str">
        <f>TEXT(Patient_Visits[[#This Row],[Visit_Date (Updated)]],"MMMM")</f>
        <v>November</v>
      </c>
      <c r="I3" t="s">
        <v>36</v>
      </c>
      <c r="J3" t="s">
        <v>37</v>
      </c>
      <c r="K3" t="s">
        <v>38</v>
      </c>
      <c r="L3" t="s">
        <v>39</v>
      </c>
      <c r="M3" t="s">
        <v>40</v>
      </c>
      <c r="N3">
        <v>62</v>
      </c>
      <c r="O3">
        <v>37.9</v>
      </c>
      <c r="P3">
        <v>49.3</v>
      </c>
      <c r="Q3">
        <v>174</v>
      </c>
      <c r="R3">
        <v>16.3</v>
      </c>
      <c r="S3" t="s">
        <v>41</v>
      </c>
      <c r="T3">
        <v>73868</v>
      </c>
      <c r="U3" t="s">
        <v>30</v>
      </c>
      <c r="V3" t="s">
        <v>31</v>
      </c>
    </row>
    <row r="4" spans="1:22" x14ac:dyDescent="0.25">
      <c r="A4" t="s">
        <v>42</v>
      </c>
      <c r="B4" t="s">
        <v>43</v>
      </c>
      <c r="C4">
        <v>28</v>
      </c>
      <c r="D4" t="s">
        <v>21</v>
      </c>
      <c r="E4" t="s">
        <v>34</v>
      </c>
      <c r="F4" t="s">
        <v>44</v>
      </c>
      <c r="G4" t="str">
        <f>TEXT(Patient_Visits[[#This Row],[Visit_Date (Updated)]],"MM")</f>
        <v>07</v>
      </c>
      <c r="H4" t="str">
        <f>TEXT(Patient_Visits[[#This Row],[Visit_Date (Updated)]],"MMMM")</f>
        <v>July</v>
      </c>
      <c r="I4" t="s">
        <v>24</v>
      </c>
      <c r="J4" t="s">
        <v>37</v>
      </c>
      <c r="K4" t="s">
        <v>45</v>
      </c>
      <c r="L4" t="s">
        <v>27</v>
      </c>
      <c r="M4" t="s">
        <v>46</v>
      </c>
      <c r="N4">
        <v>103</v>
      </c>
      <c r="O4">
        <v>37.9</v>
      </c>
      <c r="P4">
        <v>94.4</v>
      </c>
      <c r="Q4">
        <v>177</v>
      </c>
      <c r="R4">
        <v>30.1</v>
      </c>
      <c r="S4" t="s">
        <v>47</v>
      </c>
      <c r="T4">
        <v>62399</v>
      </c>
      <c r="U4" t="s">
        <v>48</v>
      </c>
      <c r="V4" t="s">
        <v>31</v>
      </c>
    </row>
    <row r="5" spans="1:22" x14ac:dyDescent="0.25">
      <c r="A5" t="s">
        <v>49</v>
      </c>
      <c r="B5" t="s">
        <v>50</v>
      </c>
      <c r="C5">
        <v>36</v>
      </c>
      <c r="D5" t="s">
        <v>21</v>
      </c>
      <c r="E5" t="s">
        <v>34</v>
      </c>
      <c r="F5" t="s">
        <v>51</v>
      </c>
      <c r="G5" t="str">
        <f>TEXT(Patient_Visits[[#This Row],[Visit_Date (Updated)]],"MM")</f>
        <v>02</v>
      </c>
      <c r="H5" t="str">
        <f>TEXT(Patient_Visits[[#This Row],[Visit_Date (Updated)]],"MMMM")</f>
        <v>February</v>
      </c>
      <c r="I5" t="s">
        <v>52</v>
      </c>
      <c r="J5" t="s">
        <v>53</v>
      </c>
      <c r="K5" t="s">
        <v>26</v>
      </c>
      <c r="L5" t="s">
        <v>39</v>
      </c>
      <c r="M5" t="s">
        <v>54</v>
      </c>
      <c r="N5">
        <v>78</v>
      </c>
      <c r="O5">
        <v>38.1</v>
      </c>
      <c r="P5">
        <v>45.1</v>
      </c>
      <c r="Q5">
        <v>180</v>
      </c>
      <c r="R5">
        <v>13.9</v>
      </c>
      <c r="S5" t="s">
        <v>55</v>
      </c>
      <c r="T5">
        <v>24621</v>
      </c>
      <c r="U5" t="s">
        <v>48</v>
      </c>
      <c r="V5" t="s">
        <v>56</v>
      </c>
    </row>
    <row r="6" spans="1:22" x14ac:dyDescent="0.25">
      <c r="A6" t="s">
        <v>57</v>
      </c>
      <c r="B6" t="s">
        <v>58</v>
      </c>
      <c r="C6">
        <v>67</v>
      </c>
      <c r="D6" t="s">
        <v>59</v>
      </c>
      <c r="E6" t="s">
        <v>60</v>
      </c>
      <c r="F6" t="s">
        <v>61</v>
      </c>
      <c r="G6" t="str">
        <f>TEXT(Patient_Visits[[#This Row],[Visit_Date (Updated)]],"MM")</f>
        <v>12</v>
      </c>
      <c r="H6" t="str">
        <f>TEXT(Patient_Visits[[#This Row],[Visit_Date (Updated)]],"MMMM")</f>
        <v>December</v>
      </c>
      <c r="I6" t="s">
        <v>24</v>
      </c>
      <c r="J6" t="s">
        <v>37</v>
      </c>
      <c r="K6" t="s">
        <v>62</v>
      </c>
      <c r="L6" t="s">
        <v>63</v>
      </c>
      <c r="M6" t="s">
        <v>64</v>
      </c>
      <c r="N6">
        <v>98</v>
      </c>
      <c r="O6">
        <v>37.700000000000003</v>
      </c>
      <c r="P6">
        <v>95.8</v>
      </c>
      <c r="Q6">
        <v>152</v>
      </c>
      <c r="R6">
        <v>41.5</v>
      </c>
      <c r="S6" t="s">
        <v>29</v>
      </c>
      <c r="T6">
        <v>38381</v>
      </c>
      <c r="U6" t="s">
        <v>48</v>
      </c>
      <c r="V6" t="s">
        <v>56</v>
      </c>
    </row>
    <row r="7" spans="1:22" x14ac:dyDescent="0.25">
      <c r="A7" t="s">
        <v>65</v>
      </c>
      <c r="B7" t="s">
        <v>66</v>
      </c>
      <c r="C7">
        <v>12</v>
      </c>
      <c r="D7" t="s">
        <v>67</v>
      </c>
      <c r="E7" t="s">
        <v>68</v>
      </c>
      <c r="F7" t="s">
        <v>69</v>
      </c>
      <c r="G7" t="str">
        <f>TEXT(Patient_Visits[[#This Row],[Visit_Date (Updated)]],"MM")</f>
        <v>05</v>
      </c>
      <c r="H7" t="str">
        <f>TEXT(Patient_Visits[[#This Row],[Visit_Date (Updated)]],"MMMM")</f>
        <v>May</v>
      </c>
      <c r="I7" t="s">
        <v>36</v>
      </c>
      <c r="J7" t="s">
        <v>70</v>
      </c>
      <c r="K7" t="s">
        <v>71</v>
      </c>
      <c r="L7" t="s">
        <v>27</v>
      </c>
      <c r="M7" t="s">
        <v>72</v>
      </c>
      <c r="N7">
        <v>70</v>
      </c>
      <c r="O7">
        <v>38.1</v>
      </c>
      <c r="P7">
        <v>74.599999999999994</v>
      </c>
      <c r="Q7">
        <v>161</v>
      </c>
      <c r="R7">
        <v>28.8</v>
      </c>
      <c r="S7" t="s">
        <v>73</v>
      </c>
      <c r="T7">
        <v>19952</v>
      </c>
      <c r="U7" t="s">
        <v>74</v>
      </c>
      <c r="V7" t="s">
        <v>56</v>
      </c>
    </row>
    <row r="8" spans="1:22" x14ac:dyDescent="0.25">
      <c r="A8" t="s">
        <v>75</v>
      </c>
      <c r="B8" t="s">
        <v>76</v>
      </c>
      <c r="C8">
        <v>55</v>
      </c>
      <c r="D8" t="s">
        <v>67</v>
      </c>
      <c r="E8" t="s">
        <v>68</v>
      </c>
      <c r="F8" t="s">
        <v>51</v>
      </c>
      <c r="G8" t="str">
        <f>TEXT(Patient_Visits[[#This Row],[Visit_Date (Updated)]],"MM")</f>
        <v>02</v>
      </c>
      <c r="H8" t="str">
        <f>TEXT(Patient_Visits[[#This Row],[Visit_Date (Updated)]],"MMMM")</f>
        <v>February</v>
      </c>
      <c r="I8" t="s">
        <v>77</v>
      </c>
      <c r="J8" t="s">
        <v>70</v>
      </c>
      <c r="K8" t="s">
        <v>78</v>
      </c>
      <c r="L8" t="s">
        <v>63</v>
      </c>
      <c r="M8" t="s">
        <v>79</v>
      </c>
      <c r="N8">
        <v>95</v>
      </c>
      <c r="O8">
        <v>37</v>
      </c>
      <c r="P8">
        <v>69.099999999999994</v>
      </c>
      <c r="Q8">
        <v>170</v>
      </c>
      <c r="R8">
        <v>23.9</v>
      </c>
      <c r="S8" t="s">
        <v>55</v>
      </c>
      <c r="T8">
        <v>33245</v>
      </c>
      <c r="U8" t="s">
        <v>30</v>
      </c>
      <c r="V8" t="s">
        <v>56</v>
      </c>
    </row>
    <row r="9" spans="1:22" x14ac:dyDescent="0.25">
      <c r="A9" t="s">
        <v>80</v>
      </c>
      <c r="B9" t="s">
        <v>81</v>
      </c>
      <c r="C9">
        <v>10</v>
      </c>
      <c r="D9" t="s">
        <v>21</v>
      </c>
      <c r="E9" t="s">
        <v>34</v>
      </c>
      <c r="F9" t="s">
        <v>82</v>
      </c>
      <c r="G9" t="str">
        <f>TEXT(Patient_Visits[[#This Row],[Visit_Date (Updated)]],"MM")</f>
        <v>01</v>
      </c>
      <c r="H9" t="str">
        <f>TEXT(Patient_Visits[[#This Row],[Visit_Date (Updated)]],"MMMM")</f>
        <v>January</v>
      </c>
      <c r="I9" t="s">
        <v>83</v>
      </c>
      <c r="J9" t="s">
        <v>37</v>
      </c>
      <c r="K9" t="s">
        <v>84</v>
      </c>
      <c r="L9" t="s">
        <v>63</v>
      </c>
      <c r="M9" t="s">
        <v>85</v>
      </c>
      <c r="N9">
        <v>69</v>
      </c>
      <c r="O9">
        <v>37.5</v>
      </c>
      <c r="P9">
        <v>65.8</v>
      </c>
      <c r="Q9">
        <v>184</v>
      </c>
      <c r="R9">
        <v>19.399999999999999</v>
      </c>
      <c r="S9" t="s">
        <v>73</v>
      </c>
      <c r="T9">
        <v>19448</v>
      </c>
      <c r="U9" t="s">
        <v>74</v>
      </c>
      <c r="V9" t="s">
        <v>56</v>
      </c>
    </row>
    <row r="10" spans="1:22" x14ac:dyDescent="0.25">
      <c r="A10" t="s">
        <v>86</v>
      </c>
      <c r="B10" t="s">
        <v>87</v>
      </c>
      <c r="C10">
        <v>63</v>
      </c>
      <c r="D10" t="s">
        <v>67</v>
      </c>
      <c r="E10" t="s">
        <v>22</v>
      </c>
      <c r="F10" t="s">
        <v>88</v>
      </c>
      <c r="G10" t="str">
        <f>TEXT(Patient_Visits[[#This Row],[Visit_Date (Updated)]],"MM")</f>
        <v>07</v>
      </c>
      <c r="H10" t="str">
        <f>TEXT(Patient_Visits[[#This Row],[Visit_Date (Updated)]],"MMMM")</f>
        <v>July</v>
      </c>
      <c r="I10" t="s">
        <v>83</v>
      </c>
      <c r="J10" t="s">
        <v>25</v>
      </c>
      <c r="K10" t="s">
        <v>89</v>
      </c>
      <c r="L10" t="s">
        <v>39</v>
      </c>
      <c r="M10" t="s">
        <v>90</v>
      </c>
      <c r="N10">
        <v>64</v>
      </c>
      <c r="O10">
        <v>39.4</v>
      </c>
      <c r="P10">
        <v>70.8</v>
      </c>
      <c r="Q10">
        <v>155</v>
      </c>
      <c r="R10">
        <v>29.5</v>
      </c>
      <c r="S10" t="s">
        <v>73</v>
      </c>
      <c r="T10">
        <v>81738</v>
      </c>
      <c r="U10" t="s">
        <v>30</v>
      </c>
      <c r="V10" t="s">
        <v>56</v>
      </c>
    </row>
    <row r="11" spans="1:22" x14ac:dyDescent="0.25">
      <c r="A11" t="s">
        <v>94</v>
      </c>
      <c r="B11" t="s">
        <v>95</v>
      </c>
      <c r="C11">
        <v>72</v>
      </c>
      <c r="D11" t="s">
        <v>67</v>
      </c>
      <c r="E11" t="s">
        <v>96</v>
      </c>
      <c r="F11" t="s">
        <v>97</v>
      </c>
      <c r="G11" t="str">
        <f>TEXT(Patient_Visits[[#This Row],[Visit_Date (Updated)]],"MM")</f>
        <v>12</v>
      </c>
      <c r="H11" t="str">
        <f>TEXT(Patient_Visits[[#This Row],[Visit_Date (Updated)]],"MMMM")</f>
        <v>December</v>
      </c>
      <c r="I11" t="s">
        <v>98</v>
      </c>
      <c r="J11" t="s">
        <v>37</v>
      </c>
      <c r="K11" t="s">
        <v>71</v>
      </c>
      <c r="L11" t="s">
        <v>99</v>
      </c>
      <c r="M11" t="s">
        <v>100</v>
      </c>
      <c r="N11">
        <v>94</v>
      </c>
      <c r="O11">
        <v>37.9</v>
      </c>
      <c r="P11">
        <v>75.2</v>
      </c>
      <c r="Q11">
        <v>188</v>
      </c>
      <c r="R11">
        <v>21.3</v>
      </c>
      <c r="S11" t="s">
        <v>41</v>
      </c>
      <c r="T11">
        <v>83377</v>
      </c>
      <c r="U11" t="s">
        <v>30</v>
      </c>
      <c r="V11" t="s">
        <v>56</v>
      </c>
    </row>
    <row r="12" spans="1:22" x14ac:dyDescent="0.25">
      <c r="A12" t="s">
        <v>101</v>
      </c>
      <c r="B12" t="s">
        <v>102</v>
      </c>
      <c r="C12">
        <v>56</v>
      </c>
      <c r="D12" t="s">
        <v>21</v>
      </c>
      <c r="E12" t="s">
        <v>34</v>
      </c>
      <c r="F12" t="s">
        <v>103</v>
      </c>
      <c r="G12" t="str">
        <f>TEXT(Patient_Visits[[#This Row],[Visit_Date (Updated)]],"MM")</f>
        <v>09</v>
      </c>
      <c r="H12" t="str">
        <f>TEXT(Patient_Visits[[#This Row],[Visit_Date (Updated)]],"MMMM")</f>
        <v>September</v>
      </c>
      <c r="I12" t="s">
        <v>83</v>
      </c>
      <c r="J12" t="s">
        <v>53</v>
      </c>
      <c r="K12" t="s">
        <v>38</v>
      </c>
      <c r="L12" t="s">
        <v>27</v>
      </c>
      <c r="M12" t="s">
        <v>104</v>
      </c>
      <c r="N12">
        <v>76</v>
      </c>
      <c r="O12">
        <v>36.700000000000003</v>
      </c>
      <c r="P12">
        <v>82.4</v>
      </c>
      <c r="Q12">
        <v>170</v>
      </c>
      <c r="R12">
        <v>28.5</v>
      </c>
      <c r="S12" t="s">
        <v>55</v>
      </c>
      <c r="T12">
        <v>108980</v>
      </c>
      <c r="U12" t="s">
        <v>74</v>
      </c>
      <c r="V12" t="s">
        <v>31</v>
      </c>
    </row>
    <row r="13" spans="1:22" x14ac:dyDescent="0.25">
      <c r="A13" t="s">
        <v>105</v>
      </c>
      <c r="B13" t="s">
        <v>106</v>
      </c>
      <c r="C13">
        <v>51</v>
      </c>
      <c r="D13" t="s">
        <v>21</v>
      </c>
      <c r="E13" t="s">
        <v>34</v>
      </c>
      <c r="F13" t="s">
        <v>107</v>
      </c>
      <c r="G13" t="str">
        <f>TEXT(Patient_Visits[[#This Row],[Visit_Date (Updated)]],"MM")</f>
        <v>02</v>
      </c>
      <c r="H13" t="str">
        <f>TEXT(Patient_Visits[[#This Row],[Visit_Date (Updated)]],"MMMM")</f>
        <v>February</v>
      </c>
      <c r="I13" t="s">
        <v>77</v>
      </c>
      <c r="J13" t="s">
        <v>70</v>
      </c>
      <c r="K13" t="s">
        <v>108</v>
      </c>
      <c r="L13" t="s">
        <v>63</v>
      </c>
      <c r="M13" t="s">
        <v>109</v>
      </c>
      <c r="N13">
        <v>99</v>
      </c>
      <c r="O13">
        <v>39.4</v>
      </c>
      <c r="P13">
        <v>82.7</v>
      </c>
      <c r="Q13">
        <v>148</v>
      </c>
      <c r="R13">
        <v>37.799999999999997</v>
      </c>
      <c r="S13" t="s">
        <v>55</v>
      </c>
      <c r="T13">
        <v>88587</v>
      </c>
      <c r="U13" t="s">
        <v>48</v>
      </c>
      <c r="V13" t="s">
        <v>56</v>
      </c>
    </row>
    <row r="14" spans="1:22" x14ac:dyDescent="0.25">
      <c r="A14" t="s">
        <v>110</v>
      </c>
      <c r="B14" t="s">
        <v>111</v>
      </c>
      <c r="C14">
        <v>20</v>
      </c>
      <c r="D14" t="s">
        <v>59</v>
      </c>
      <c r="E14" t="s">
        <v>34</v>
      </c>
      <c r="F14" t="s">
        <v>112</v>
      </c>
      <c r="G14" t="str">
        <f>TEXT(Patient_Visits[[#This Row],[Visit_Date (Updated)]],"MM")</f>
        <v>09</v>
      </c>
      <c r="H14" t="str">
        <f>TEXT(Patient_Visits[[#This Row],[Visit_Date (Updated)]],"MMMM")</f>
        <v>September</v>
      </c>
      <c r="I14" t="s">
        <v>77</v>
      </c>
      <c r="J14" t="s">
        <v>70</v>
      </c>
      <c r="K14" t="s">
        <v>71</v>
      </c>
      <c r="L14" t="s">
        <v>27</v>
      </c>
      <c r="M14" t="s">
        <v>113</v>
      </c>
      <c r="N14">
        <v>85</v>
      </c>
      <c r="O14">
        <v>38.6</v>
      </c>
      <c r="P14">
        <v>45.9</v>
      </c>
      <c r="Q14">
        <v>158</v>
      </c>
      <c r="R14">
        <v>18.399999999999999</v>
      </c>
      <c r="S14" t="s">
        <v>41</v>
      </c>
      <c r="T14">
        <v>19651</v>
      </c>
      <c r="U14" t="s">
        <v>30</v>
      </c>
      <c r="V14" t="s">
        <v>56</v>
      </c>
    </row>
    <row r="15" spans="1:22" x14ac:dyDescent="0.25">
      <c r="A15" t="s">
        <v>114</v>
      </c>
      <c r="B15" t="s">
        <v>115</v>
      </c>
      <c r="C15">
        <v>69</v>
      </c>
      <c r="D15" t="s">
        <v>21</v>
      </c>
      <c r="E15" t="s">
        <v>116</v>
      </c>
      <c r="F15" t="s">
        <v>117</v>
      </c>
      <c r="G15" t="str">
        <f>TEXT(Patient_Visits[[#This Row],[Visit_Date (Updated)]],"MM")</f>
        <v>09</v>
      </c>
      <c r="H15" t="str">
        <f>TEXT(Patient_Visits[[#This Row],[Visit_Date (Updated)]],"MMMM")</f>
        <v>September</v>
      </c>
      <c r="I15" t="s">
        <v>52</v>
      </c>
      <c r="J15" t="s">
        <v>25</v>
      </c>
      <c r="K15" t="s">
        <v>118</v>
      </c>
      <c r="L15" t="s">
        <v>99</v>
      </c>
      <c r="M15" t="s">
        <v>119</v>
      </c>
      <c r="N15">
        <v>71</v>
      </c>
      <c r="O15">
        <v>36.5</v>
      </c>
      <c r="P15">
        <v>83.3</v>
      </c>
      <c r="Q15">
        <v>155</v>
      </c>
      <c r="R15">
        <v>34.700000000000003</v>
      </c>
      <c r="S15" t="s">
        <v>47</v>
      </c>
      <c r="T15">
        <v>11094</v>
      </c>
      <c r="U15" t="s">
        <v>48</v>
      </c>
      <c r="V15" t="s">
        <v>31</v>
      </c>
    </row>
    <row r="16" spans="1:22" x14ac:dyDescent="0.25">
      <c r="A16" t="s">
        <v>120</v>
      </c>
      <c r="B16" t="s">
        <v>121</v>
      </c>
      <c r="C16">
        <v>18</v>
      </c>
      <c r="D16" t="s">
        <v>21</v>
      </c>
      <c r="E16" t="s">
        <v>34</v>
      </c>
      <c r="F16" t="s">
        <v>122</v>
      </c>
      <c r="G16" t="str">
        <f>TEXT(Patient_Visits[[#This Row],[Visit_Date (Updated)]],"MM")</f>
        <v>04</v>
      </c>
      <c r="H16" t="str">
        <f>TEXT(Patient_Visits[[#This Row],[Visit_Date (Updated)]],"MMMM")</f>
        <v>April</v>
      </c>
      <c r="I16" t="s">
        <v>98</v>
      </c>
      <c r="J16" t="s">
        <v>25</v>
      </c>
      <c r="K16" t="s">
        <v>45</v>
      </c>
      <c r="L16" t="s">
        <v>39</v>
      </c>
      <c r="M16" t="s">
        <v>123</v>
      </c>
      <c r="N16">
        <v>88</v>
      </c>
      <c r="O16">
        <v>37.1</v>
      </c>
      <c r="P16">
        <v>108.1</v>
      </c>
      <c r="Q16">
        <v>186</v>
      </c>
      <c r="R16">
        <v>31.2</v>
      </c>
      <c r="S16" t="s">
        <v>47</v>
      </c>
      <c r="T16">
        <v>29136</v>
      </c>
      <c r="U16" t="s">
        <v>74</v>
      </c>
      <c r="V16" t="s">
        <v>31</v>
      </c>
    </row>
    <row r="17" spans="1:22" x14ac:dyDescent="0.25">
      <c r="A17" t="s">
        <v>124</v>
      </c>
      <c r="B17" t="s">
        <v>125</v>
      </c>
      <c r="C17">
        <v>62</v>
      </c>
      <c r="D17" t="s">
        <v>67</v>
      </c>
      <c r="E17" t="s">
        <v>34</v>
      </c>
      <c r="F17" t="s">
        <v>126</v>
      </c>
      <c r="G17" t="str">
        <f>TEXT(Patient_Visits[[#This Row],[Visit_Date (Updated)]],"MM")</f>
        <v>12</v>
      </c>
      <c r="H17" t="str">
        <f>TEXT(Patient_Visits[[#This Row],[Visit_Date (Updated)]],"MMMM")</f>
        <v>December</v>
      </c>
      <c r="I17" t="s">
        <v>52</v>
      </c>
      <c r="J17" t="s">
        <v>53</v>
      </c>
      <c r="K17" t="s">
        <v>26</v>
      </c>
      <c r="L17" t="s">
        <v>99</v>
      </c>
      <c r="M17" t="s">
        <v>127</v>
      </c>
      <c r="N17">
        <v>86</v>
      </c>
      <c r="O17">
        <v>36.4</v>
      </c>
      <c r="P17">
        <v>70.900000000000006</v>
      </c>
      <c r="Q17">
        <v>152</v>
      </c>
      <c r="R17">
        <v>30.7</v>
      </c>
      <c r="S17" t="s">
        <v>41</v>
      </c>
      <c r="T17">
        <v>59143</v>
      </c>
      <c r="U17" t="s">
        <v>30</v>
      </c>
      <c r="V17" t="s">
        <v>56</v>
      </c>
    </row>
    <row r="18" spans="1:22" x14ac:dyDescent="0.25">
      <c r="A18" t="s">
        <v>128</v>
      </c>
      <c r="B18" t="s">
        <v>20</v>
      </c>
      <c r="C18">
        <v>43</v>
      </c>
      <c r="D18" t="s">
        <v>21</v>
      </c>
      <c r="E18" t="s">
        <v>116</v>
      </c>
      <c r="F18" t="s">
        <v>129</v>
      </c>
      <c r="G18" t="str">
        <f>TEXT(Patient_Visits[[#This Row],[Visit_Date (Updated)]],"MM")</f>
        <v>11</v>
      </c>
      <c r="H18" t="str">
        <f>TEXT(Patient_Visits[[#This Row],[Visit_Date (Updated)]],"MMMM")</f>
        <v>November</v>
      </c>
      <c r="I18" t="s">
        <v>36</v>
      </c>
      <c r="J18" t="s">
        <v>53</v>
      </c>
      <c r="K18" t="s">
        <v>84</v>
      </c>
      <c r="L18" t="s">
        <v>63</v>
      </c>
      <c r="M18" t="s">
        <v>130</v>
      </c>
      <c r="N18">
        <v>74</v>
      </c>
      <c r="O18">
        <v>36.5</v>
      </c>
      <c r="P18">
        <v>101.9</v>
      </c>
      <c r="Q18">
        <v>158</v>
      </c>
      <c r="R18">
        <v>40.799999999999997</v>
      </c>
      <c r="S18" t="s">
        <v>41</v>
      </c>
      <c r="T18">
        <v>24163</v>
      </c>
      <c r="U18" t="s">
        <v>74</v>
      </c>
      <c r="V18" t="s">
        <v>31</v>
      </c>
    </row>
    <row r="19" spans="1:22" x14ac:dyDescent="0.25">
      <c r="A19" t="s">
        <v>131</v>
      </c>
      <c r="B19" t="s">
        <v>33</v>
      </c>
      <c r="C19">
        <v>70</v>
      </c>
      <c r="D19" t="s">
        <v>67</v>
      </c>
      <c r="E19" t="s">
        <v>132</v>
      </c>
      <c r="F19" t="s">
        <v>133</v>
      </c>
      <c r="G19" t="str">
        <f>TEXT(Patient_Visits[[#This Row],[Visit_Date (Updated)]],"MM")</f>
        <v>08</v>
      </c>
      <c r="H19" t="str">
        <f>TEXT(Patient_Visits[[#This Row],[Visit_Date (Updated)]],"MMMM")</f>
        <v>August</v>
      </c>
      <c r="I19" t="s">
        <v>77</v>
      </c>
      <c r="J19" t="s">
        <v>53</v>
      </c>
      <c r="K19" t="s">
        <v>71</v>
      </c>
      <c r="L19" t="s">
        <v>27</v>
      </c>
      <c r="M19" t="s">
        <v>134</v>
      </c>
      <c r="N19">
        <v>81</v>
      </c>
      <c r="O19">
        <v>37.9</v>
      </c>
      <c r="P19">
        <v>70.8</v>
      </c>
      <c r="Q19">
        <v>149</v>
      </c>
      <c r="R19">
        <v>31.9</v>
      </c>
      <c r="S19" t="s">
        <v>55</v>
      </c>
      <c r="T19">
        <v>46450</v>
      </c>
      <c r="U19" t="s">
        <v>74</v>
      </c>
      <c r="V19" t="s">
        <v>31</v>
      </c>
    </row>
    <row r="20" spans="1:22" x14ac:dyDescent="0.25">
      <c r="A20" t="s">
        <v>135</v>
      </c>
      <c r="B20" t="s">
        <v>43</v>
      </c>
      <c r="C20">
        <v>70</v>
      </c>
      <c r="D20" t="s">
        <v>21</v>
      </c>
      <c r="E20" t="s">
        <v>96</v>
      </c>
      <c r="F20" t="s">
        <v>136</v>
      </c>
      <c r="G20" t="str">
        <f>TEXT(Patient_Visits[[#This Row],[Visit_Date (Updated)]],"MM")</f>
        <v>04</v>
      </c>
      <c r="H20" t="str">
        <f>TEXT(Patient_Visits[[#This Row],[Visit_Date (Updated)]],"MMMM")</f>
        <v>April</v>
      </c>
      <c r="I20" t="s">
        <v>24</v>
      </c>
      <c r="J20" t="s">
        <v>25</v>
      </c>
      <c r="K20" t="s">
        <v>93</v>
      </c>
      <c r="L20" t="s">
        <v>63</v>
      </c>
      <c r="M20" t="s">
        <v>137</v>
      </c>
      <c r="N20">
        <v>77</v>
      </c>
      <c r="O20">
        <v>38.6</v>
      </c>
      <c r="P20">
        <v>97.4</v>
      </c>
      <c r="Q20">
        <v>191</v>
      </c>
      <c r="R20">
        <v>26.7</v>
      </c>
      <c r="S20" t="s">
        <v>73</v>
      </c>
      <c r="T20">
        <v>56208</v>
      </c>
      <c r="U20" t="s">
        <v>30</v>
      </c>
      <c r="V20" t="s">
        <v>31</v>
      </c>
    </row>
    <row r="21" spans="1:22" x14ac:dyDescent="0.25">
      <c r="A21" t="s">
        <v>138</v>
      </c>
      <c r="B21" t="s">
        <v>50</v>
      </c>
      <c r="C21">
        <v>46</v>
      </c>
      <c r="D21" t="s">
        <v>21</v>
      </c>
      <c r="E21" t="s">
        <v>139</v>
      </c>
      <c r="F21" t="s">
        <v>140</v>
      </c>
      <c r="G21" t="str">
        <f>TEXT(Patient_Visits[[#This Row],[Visit_Date (Updated)]],"MM")</f>
        <v>01</v>
      </c>
      <c r="H21" t="str">
        <f>TEXT(Patient_Visits[[#This Row],[Visit_Date (Updated)]],"MMMM")</f>
        <v>January</v>
      </c>
      <c r="I21" t="s">
        <v>36</v>
      </c>
      <c r="J21" t="s">
        <v>141</v>
      </c>
      <c r="K21" t="s">
        <v>78</v>
      </c>
      <c r="L21" t="s">
        <v>27</v>
      </c>
      <c r="M21" t="s">
        <v>142</v>
      </c>
      <c r="N21">
        <v>100</v>
      </c>
      <c r="O21">
        <v>36.299999999999997</v>
      </c>
      <c r="P21">
        <v>58.2</v>
      </c>
      <c r="Q21">
        <v>186</v>
      </c>
      <c r="R21">
        <v>16.8</v>
      </c>
      <c r="S21" t="s">
        <v>41</v>
      </c>
      <c r="T21">
        <v>2000</v>
      </c>
      <c r="U21" t="s">
        <v>30</v>
      </c>
      <c r="V21" t="s">
        <v>31</v>
      </c>
    </row>
    <row r="22" spans="1:22" x14ac:dyDescent="0.25">
      <c r="A22" t="s">
        <v>143</v>
      </c>
      <c r="B22" t="s">
        <v>58</v>
      </c>
      <c r="C22">
        <v>6</v>
      </c>
      <c r="D22" t="s">
        <v>59</v>
      </c>
      <c r="E22" t="s">
        <v>22</v>
      </c>
      <c r="F22" t="s">
        <v>144</v>
      </c>
      <c r="G22" t="str">
        <f>TEXT(Patient_Visits[[#This Row],[Visit_Date (Updated)]],"MM")</f>
        <v>05</v>
      </c>
      <c r="H22" t="str">
        <f>TEXT(Patient_Visits[[#This Row],[Visit_Date (Updated)]],"MMMM")</f>
        <v>May</v>
      </c>
      <c r="I22" t="s">
        <v>52</v>
      </c>
      <c r="J22" t="s">
        <v>141</v>
      </c>
      <c r="K22" t="s">
        <v>38</v>
      </c>
      <c r="L22" t="s">
        <v>99</v>
      </c>
      <c r="M22" t="s">
        <v>145</v>
      </c>
      <c r="N22">
        <v>76</v>
      </c>
      <c r="O22">
        <v>36.200000000000003</v>
      </c>
      <c r="P22">
        <v>54.1</v>
      </c>
      <c r="Q22">
        <v>167</v>
      </c>
      <c r="R22">
        <v>19.399999999999999</v>
      </c>
      <c r="S22" t="s">
        <v>73</v>
      </c>
      <c r="T22">
        <v>72610</v>
      </c>
      <c r="U22" t="s">
        <v>30</v>
      </c>
      <c r="V22" t="s">
        <v>31</v>
      </c>
    </row>
    <row r="23" spans="1:22" x14ac:dyDescent="0.25">
      <c r="A23" t="s">
        <v>146</v>
      </c>
      <c r="B23" t="s">
        <v>66</v>
      </c>
      <c r="C23">
        <v>62</v>
      </c>
      <c r="D23" t="s">
        <v>21</v>
      </c>
      <c r="E23" t="s">
        <v>139</v>
      </c>
      <c r="F23" t="s">
        <v>147</v>
      </c>
      <c r="G23" t="str">
        <f>TEXT(Patient_Visits[[#This Row],[Visit_Date (Updated)]],"MM")</f>
        <v>06</v>
      </c>
      <c r="H23" t="str">
        <f>TEXT(Patient_Visits[[#This Row],[Visit_Date (Updated)]],"MMMM")</f>
        <v>June</v>
      </c>
      <c r="I23" t="s">
        <v>24</v>
      </c>
      <c r="J23" t="s">
        <v>53</v>
      </c>
      <c r="K23" t="s">
        <v>38</v>
      </c>
      <c r="L23" t="s">
        <v>27</v>
      </c>
      <c r="M23" t="s">
        <v>148</v>
      </c>
      <c r="N23">
        <v>95</v>
      </c>
      <c r="O23">
        <v>39.4</v>
      </c>
      <c r="P23">
        <v>76</v>
      </c>
      <c r="Q23">
        <v>163</v>
      </c>
      <c r="R23">
        <v>28.6</v>
      </c>
      <c r="S23" t="s">
        <v>55</v>
      </c>
      <c r="T23">
        <v>16930</v>
      </c>
      <c r="U23" t="s">
        <v>74</v>
      </c>
      <c r="V23" t="s">
        <v>31</v>
      </c>
    </row>
    <row r="24" spans="1:22" x14ac:dyDescent="0.25">
      <c r="A24" t="s">
        <v>149</v>
      </c>
      <c r="B24" t="s">
        <v>76</v>
      </c>
      <c r="C24">
        <v>68</v>
      </c>
      <c r="D24" t="s">
        <v>67</v>
      </c>
      <c r="E24" t="s">
        <v>139</v>
      </c>
      <c r="F24" t="s">
        <v>150</v>
      </c>
      <c r="G24" t="str">
        <f>TEXT(Patient_Visits[[#This Row],[Visit_Date (Updated)]],"MM")</f>
        <v>12</v>
      </c>
      <c r="H24" t="str">
        <f>TEXT(Patient_Visits[[#This Row],[Visit_Date (Updated)]],"MMMM")</f>
        <v>December</v>
      </c>
      <c r="I24" t="s">
        <v>77</v>
      </c>
      <c r="J24" t="s">
        <v>141</v>
      </c>
      <c r="K24" t="s">
        <v>71</v>
      </c>
      <c r="L24" t="s">
        <v>99</v>
      </c>
      <c r="M24" t="s">
        <v>151</v>
      </c>
      <c r="N24">
        <v>82</v>
      </c>
      <c r="O24">
        <v>39.4</v>
      </c>
      <c r="P24">
        <v>98.6</v>
      </c>
      <c r="Q24">
        <v>148</v>
      </c>
      <c r="R24">
        <v>45</v>
      </c>
      <c r="S24" t="s">
        <v>29</v>
      </c>
      <c r="T24">
        <v>0</v>
      </c>
      <c r="U24" t="s">
        <v>152</v>
      </c>
      <c r="V24" t="s">
        <v>31</v>
      </c>
    </row>
    <row r="25" spans="1:22" x14ac:dyDescent="0.25">
      <c r="A25" t="s">
        <v>153</v>
      </c>
      <c r="B25" t="s">
        <v>81</v>
      </c>
      <c r="C25">
        <v>10</v>
      </c>
      <c r="D25" t="s">
        <v>21</v>
      </c>
      <c r="E25" t="s">
        <v>96</v>
      </c>
      <c r="F25" t="s">
        <v>154</v>
      </c>
      <c r="G25" t="str">
        <f>TEXT(Patient_Visits[[#This Row],[Visit_Date (Updated)]],"MM")</f>
        <v>12</v>
      </c>
      <c r="H25" t="str">
        <f>TEXT(Patient_Visits[[#This Row],[Visit_Date (Updated)]],"MMMM")</f>
        <v>December</v>
      </c>
      <c r="I25" t="s">
        <v>83</v>
      </c>
      <c r="J25" t="s">
        <v>37</v>
      </c>
      <c r="K25" t="s">
        <v>93</v>
      </c>
      <c r="L25" t="s">
        <v>99</v>
      </c>
      <c r="M25" t="s">
        <v>155</v>
      </c>
      <c r="N25">
        <v>89</v>
      </c>
      <c r="O25">
        <v>36.6</v>
      </c>
      <c r="P25">
        <v>58.8</v>
      </c>
      <c r="Q25">
        <v>148</v>
      </c>
      <c r="R25">
        <v>26.8</v>
      </c>
      <c r="S25" t="s">
        <v>73</v>
      </c>
      <c r="T25">
        <v>50728</v>
      </c>
      <c r="U25" t="s">
        <v>48</v>
      </c>
      <c r="V25" t="s">
        <v>31</v>
      </c>
    </row>
    <row r="26" spans="1:22" x14ac:dyDescent="0.25">
      <c r="A26" t="s">
        <v>156</v>
      </c>
      <c r="B26" t="s">
        <v>87</v>
      </c>
      <c r="C26">
        <v>36</v>
      </c>
      <c r="D26" t="s">
        <v>21</v>
      </c>
      <c r="E26" t="s">
        <v>139</v>
      </c>
      <c r="F26" t="s">
        <v>157</v>
      </c>
      <c r="G26" t="str">
        <f>TEXT(Patient_Visits[[#This Row],[Visit_Date (Updated)]],"MM")</f>
        <v>04</v>
      </c>
      <c r="H26" t="str">
        <f>TEXT(Patient_Visits[[#This Row],[Visit_Date (Updated)]],"MMMM")</f>
        <v>April</v>
      </c>
      <c r="I26" t="s">
        <v>98</v>
      </c>
      <c r="J26" t="s">
        <v>141</v>
      </c>
      <c r="K26" t="s">
        <v>38</v>
      </c>
      <c r="L26" t="s">
        <v>63</v>
      </c>
      <c r="M26" t="s">
        <v>158</v>
      </c>
      <c r="N26">
        <v>90</v>
      </c>
      <c r="O26">
        <v>37</v>
      </c>
      <c r="P26">
        <v>85.9</v>
      </c>
      <c r="Q26">
        <v>163</v>
      </c>
      <c r="R26">
        <v>32.299999999999997</v>
      </c>
      <c r="S26" t="s">
        <v>47</v>
      </c>
      <c r="T26">
        <v>104743</v>
      </c>
      <c r="U26" t="s">
        <v>30</v>
      </c>
      <c r="V26" t="s">
        <v>56</v>
      </c>
    </row>
    <row r="27" spans="1:22" x14ac:dyDescent="0.25">
      <c r="A27" t="s">
        <v>159</v>
      </c>
      <c r="B27" t="s">
        <v>95</v>
      </c>
      <c r="C27">
        <v>15</v>
      </c>
      <c r="D27" t="s">
        <v>21</v>
      </c>
      <c r="E27" t="s">
        <v>60</v>
      </c>
      <c r="F27" t="s">
        <v>160</v>
      </c>
      <c r="G27" t="str">
        <f>TEXT(Patient_Visits[[#This Row],[Visit_Date (Updated)]],"MM")</f>
        <v>03</v>
      </c>
      <c r="H27" t="str">
        <f>TEXT(Patient_Visits[[#This Row],[Visit_Date (Updated)]],"MMMM")</f>
        <v>March</v>
      </c>
      <c r="I27" t="s">
        <v>36</v>
      </c>
      <c r="J27" t="s">
        <v>53</v>
      </c>
      <c r="K27" t="s">
        <v>45</v>
      </c>
      <c r="L27" t="s">
        <v>39</v>
      </c>
      <c r="M27" t="s">
        <v>161</v>
      </c>
      <c r="N27">
        <v>63</v>
      </c>
      <c r="O27">
        <v>38.200000000000003</v>
      </c>
      <c r="P27">
        <v>83.8</v>
      </c>
      <c r="Q27">
        <v>191</v>
      </c>
      <c r="R27">
        <v>23</v>
      </c>
      <c r="S27" t="s">
        <v>41</v>
      </c>
      <c r="T27">
        <v>67132</v>
      </c>
      <c r="U27" t="s">
        <v>48</v>
      </c>
      <c r="V27" t="s">
        <v>56</v>
      </c>
    </row>
    <row r="28" spans="1:22" x14ac:dyDescent="0.25">
      <c r="A28" t="s">
        <v>162</v>
      </c>
      <c r="B28" t="s">
        <v>102</v>
      </c>
      <c r="C28">
        <v>63</v>
      </c>
      <c r="D28" t="s">
        <v>21</v>
      </c>
      <c r="E28" t="s">
        <v>96</v>
      </c>
      <c r="F28" t="s">
        <v>163</v>
      </c>
      <c r="G28" t="str">
        <f>TEXT(Patient_Visits[[#This Row],[Visit_Date (Updated)]],"MM")</f>
        <v>12</v>
      </c>
      <c r="H28" t="str">
        <f>TEXT(Patient_Visits[[#This Row],[Visit_Date (Updated)]],"MMMM")</f>
        <v>December</v>
      </c>
      <c r="I28" t="s">
        <v>52</v>
      </c>
      <c r="J28" t="s">
        <v>25</v>
      </c>
      <c r="K28" t="s">
        <v>89</v>
      </c>
      <c r="L28" t="s">
        <v>63</v>
      </c>
      <c r="M28" t="s">
        <v>164</v>
      </c>
      <c r="N28">
        <v>75</v>
      </c>
      <c r="O28">
        <v>38.6</v>
      </c>
      <c r="P28">
        <v>54.4</v>
      </c>
      <c r="Q28">
        <v>189</v>
      </c>
      <c r="R28">
        <v>15.2</v>
      </c>
      <c r="S28" t="s">
        <v>55</v>
      </c>
      <c r="T28">
        <v>67742</v>
      </c>
      <c r="U28" t="s">
        <v>48</v>
      </c>
      <c r="V28" t="s">
        <v>56</v>
      </c>
    </row>
    <row r="29" spans="1:22" x14ac:dyDescent="0.25">
      <c r="A29" t="s">
        <v>165</v>
      </c>
      <c r="B29" t="s">
        <v>106</v>
      </c>
      <c r="C29">
        <v>66</v>
      </c>
      <c r="D29" t="s">
        <v>67</v>
      </c>
      <c r="E29" t="s">
        <v>60</v>
      </c>
      <c r="F29" t="s">
        <v>166</v>
      </c>
      <c r="G29" t="str">
        <f>TEXT(Patient_Visits[[#This Row],[Visit_Date (Updated)]],"MM")</f>
        <v>11</v>
      </c>
      <c r="H29" t="str">
        <f>TEXT(Patient_Visits[[#This Row],[Visit_Date (Updated)]],"MMMM")</f>
        <v>November</v>
      </c>
      <c r="I29" t="s">
        <v>36</v>
      </c>
      <c r="J29" t="s">
        <v>141</v>
      </c>
      <c r="K29" t="s">
        <v>45</v>
      </c>
      <c r="L29" t="s">
        <v>99</v>
      </c>
      <c r="M29" t="s">
        <v>167</v>
      </c>
      <c r="N29">
        <v>101</v>
      </c>
      <c r="O29">
        <v>38.6</v>
      </c>
      <c r="P29">
        <v>61.3</v>
      </c>
      <c r="Q29">
        <v>184</v>
      </c>
      <c r="R29">
        <v>18.100000000000001</v>
      </c>
      <c r="S29" t="s">
        <v>41</v>
      </c>
      <c r="T29">
        <v>4634</v>
      </c>
      <c r="U29" t="s">
        <v>48</v>
      </c>
      <c r="V29" t="s">
        <v>56</v>
      </c>
    </row>
    <row r="30" spans="1:22" x14ac:dyDescent="0.25">
      <c r="A30" t="s">
        <v>168</v>
      </c>
      <c r="B30" t="s">
        <v>111</v>
      </c>
      <c r="C30">
        <v>67</v>
      </c>
      <c r="D30" t="s">
        <v>67</v>
      </c>
      <c r="E30" t="s">
        <v>96</v>
      </c>
      <c r="F30" t="s">
        <v>169</v>
      </c>
      <c r="G30" t="str">
        <f>TEXT(Patient_Visits[[#This Row],[Visit_Date (Updated)]],"MM")</f>
        <v>12</v>
      </c>
      <c r="H30" t="str">
        <f>TEXT(Patient_Visits[[#This Row],[Visit_Date (Updated)]],"MMMM")</f>
        <v>December</v>
      </c>
      <c r="I30" t="s">
        <v>77</v>
      </c>
      <c r="J30" t="s">
        <v>70</v>
      </c>
      <c r="K30" t="s">
        <v>93</v>
      </c>
      <c r="L30" t="s">
        <v>63</v>
      </c>
      <c r="M30" t="s">
        <v>170</v>
      </c>
      <c r="N30">
        <v>89</v>
      </c>
      <c r="O30">
        <v>38.700000000000003</v>
      </c>
      <c r="P30">
        <v>109.5</v>
      </c>
      <c r="Q30">
        <v>183</v>
      </c>
      <c r="R30">
        <v>32.700000000000003</v>
      </c>
      <c r="S30" t="s">
        <v>41</v>
      </c>
      <c r="T30">
        <v>43851</v>
      </c>
      <c r="U30" t="s">
        <v>30</v>
      </c>
      <c r="V30" t="s">
        <v>31</v>
      </c>
    </row>
    <row r="31" spans="1:22" x14ac:dyDescent="0.25">
      <c r="A31" t="s">
        <v>171</v>
      </c>
      <c r="B31" t="s">
        <v>172</v>
      </c>
      <c r="C31">
        <v>7</v>
      </c>
      <c r="D31" t="s">
        <v>67</v>
      </c>
      <c r="E31" t="s">
        <v>68</v>
      </c>
      <c r="F31" t="s">
        <v>173</v>
      </c>
      <c r="G31" t="str">
        <f>TEXT(Patient_Visits[[#This Row],[Visit_Date (Updated)]],"MM")</f>
        <v>02</v>
      </c>
      <c r="H31" t="str">
        <f>TEXT(Patient_Visits[[#This Row],[Visit_Date (Updated)]],"MMMM")</f>
        <v>February</v>
      </c>
      <c r="I31" t="s">
        <v>52</v>
      </c>
      <c r="J31" t="s">
        <v>70</v>
      </c>
      <c r="K31" t="s">
        <v>93</v>
      </c>
      <c r="L31" t="s">
        <v>39</v>
      </c>
      <c r="M31" t="s">
        <v>174</v>
      </c>
      <c r="N31">
        <v>64</v>
      </c>
      <c r="O31">
        <v>38</v>
      </c>
      <c r="P31">
        <v>49.9</v>
      </c>
      <c r="Q31">
        <v>181</v>
      </c>
      <c r="R31">
        <v>15.2</v>
      </c>
      <c r="S31" t="s">
        <v>73</v>
      </c>
      <c r="T31">
        <v>50127</v>
      </c>
      <c r="U31" t="s">
        <v>30</v>
      </c>
      <c r="V31" t="s">
        <v>31</v>
      </c>
    </row>
    <row r="32" spans="1:22" x14ac:dyDescent="0.25">
      <c r="A32" t="s">
        <v>175</v>
      </c>
      <c r="B32" t="s">
        <v>176</v>
      </c>
      <c r="C32">
        <v>19</v>
      </c>
      <c r="D32" t="s">
        <v>67</v>
      </c>
      <c r="E32" t="s">
        <v>34</v>
      </c>
      <c r="F32" t="s">
        <v>177</v>
      </c>
      <c r="G32" t="str">
        <f>TEXT(Patient_Visits[[#This Row],[Visit_Date (Updated)]],"MM")</f>
        <v>09</v>
      </c>
      <c r="H32" t="str">
        <f>TEXT(Patient_Visits[[#This Row],[Visit_Date (Updated)]],"MMMM")</f>
        <v>September</v>
      </c>
      <c r="I32" t="s">
        <v>83</v>
      </c>
      <c r="J32" t="s">
        <v>70</v>
      </c>
      <c r="K32" t="s">
        <v>38</v>
      </c>
      <c r="L32" t="s">
        <v>99</v>
      </c>
      <c r="M32" t="s">
        <v>178</v>
      </c>
      <c r="N32">
        <v>103</v>
      </c>
      <c r="O32">
        <v>37.6</v>
      </c>
      <c r="P32">
        <v>61.1</v>
      </c>
      <c r="Q32">
        <v>157</v>
      </c>
      <c r="R32">
        <v>24.8</v>
      </c>
      <c r="S32" t="s">
        <v>55</v>
      </c>
      <c r="T32">
        <v>48083</v>
      </c>
      <c r="U32" t="s">
        <v>48</v>
      </c>
      <c r="V32" t="s">
        <v>31</v>
      </c>
    </row>
    <row r="33" spans="1:22" x14ac:dyDescent="0.25">
      <c r="A33" t="s">
        <v>179</v>
      </c>
      <c r="B33" t="s">
        <v>115</v>
      </c>
      <c r="C33">
        <v>20</v>
      </c>
      <c r="D33" t="s">
        <v>67</v>
      </c>
      <c r="E33" t="s">
        <v>60</v>
      </c>
      <c r="F33" t="s">
        <v>180</v>
      </c>
      <c r="G33" t="str">
        <f>TEXT(Patient_Visits[[#This Row],[Visit_Date (Updated)]],"MM")</f>
        <v>06</v>
      </c>
      <c r="H33" t="str">
        <f>TEXT(Patient_Visits[[#This Row],[Visit_Date (Updated)]],"MMMM")</f>
        <v>June</v>
      </c>
      <c r="I33" t="s">
        <v>98</v>
      </c>
      <c r="J33" t="s">
        <v>70</v>
      </c>
      <c r="K33" t="s">
        <v>118</v>
      </c>
      <c r="L33" t="s">
        <v>99</v>
      </c>
      <c r="M33" t="s">
        <v>181</v>
      </c>
      <c r="N33">
        <v>76</v>
      </c>
      <c r="O33">
        <v>37.299999999999997</v>
      </c>
      <c r="P33">
        <v>67.5</v>
      </c>
      <c r="Q33">
        <v>185</v>
      </c>
      <c r="R33">
        <v>19.7</v>
      </c>
      <c r="S33" t="s">
        <v>29</v>
      </c>
      <c r="T33">
        <v>50278</v>
      </c>
      <c r="U33" t="s">
        <v>48</v>
      </c>
      <c r="V33" t="s">
        <v>31</v>
      </c>
    </row>
    <row r="34" spans="1:22" x14ac:dyDescent="0.25">
      <c r="A34" t="s">
        <v>182</v>
      </c>
      <c r="B34" t="s">
        <v>121</v>
      </c>
      <c r="C34">
        <v>11</v>
      </c>
      <c r="D34" t="s">
        <v>67</v>
      </c>
      <c r="E34" t="s">
        <v>96</v>
      </c>
      <c r="F34" t="s">
        <v>183</v>
      </c>
      <c r="G34" t="str">
        <f>TEXT(Patient_Visits[[#This Row],[Visit_Date (Updated)]],"MM")</f>
        <v>01</v>
      </c>
      <c r="H34" t="str">
        <f>TEXT(Patient_Visits[[#This Row],[Visit_Date (Updated)]],"MMMM")</f>
        <v>January</v>
      </c>
      <c r="I34" t="s">
        <v>36</v>
      </c>
      <c r="J34" t="s">
        <v>53</v>
      </c>
      <c r="K34" t="s">
        <v>84</v>
      </c>
      <c r="L34" t="s">
        <v>99</v>
      </c>
      <c r="M34" t="s">
        <v>184</v>
      </c>
      <c r="N34">
        <v>92</v>
      </c>
      <c r="O34">
        <v>37.1</v>
      </c>
      <c r="P34">
        <v>94.1</v>
      </c>
      <c r="Q34">
        <v>175</v>
      </c>
      <c r="R34">
        <v>30.7</v>
      </c>
      <c r="S34" t="s">
        <v>29</v>
      </c>
      <c r="T34">
        <v>109425</v>
      </c>
      <c r="U34" t="s">
        <v>74</v>
      </c>
      <c r="V34" t="s">
        <v>31</v>
      </c>
    </row>
    <row r="35" spans="1:22" x14ac:dyDescent="0.25">
      <c r="A35" t="s">
        <v>185</v>
      </c>
      <c r="B35" t="s">
        <v>125</v>
      </c>
      <c r="C35">
        <v>75</v>
      </c>
      <c r="D35" t="s">
        <v>21</v>
      </c>
      <c r="E35" t="s">
        <v>96</v>
      </c>
      <c r="F35" t="s">
        <v>186</v>
      </c>
      <c r="G35" t="str">
        <f>TEXT(Patient_Visits[[#This Row],[Visit_Date (Updated)]],"MM")</f>
        <v>01</v>
      </c>
      <c r="H35" t="str">
        <f>TEXT(Patient_Visits[[#This Row],[Visit_Date (Updated)]],"MMMM")</f>
        <v>January</v>
      </c>
      <c r="I35" t="s">
        <v>36</v>
      </c>
      <c r="J35" t="s">
        <v>70</v>
      </c>
      <c r="K35" t="s">
        <v>89</v>
      </c>
      <c r="L35" t="s">
        <v>99</v>
      </c>
      <c r="M35" t="s">
        <v>187</v>
      </c>
      <c r="N35">
        <v>63</v>
      </c>
      <c r="O35">
        <v>39.200000000000003</v>
      </c>
      <c r="P35">
        <v>78.5</v>
      </c>
      <c r="Q35">
        <v>158</v>
      </c>
      <c r="R35">
        <v>31.4</v>
      </c>
      <c r="S35" t="s">
        <v>55</v>
      </c>
      <c r="T35">
        <v>57377</v>
      </c>
      <c r="U35" t="s">
        <v>48</v>
      </c>
      <c r="V35" t="s">
        <v>31</v>
      </c>
    </row>
    <row r="36" spans="1:22" x14ac:dyDescent="0.25">
      <c r="A36" t="s">
        <v>188</v>
      </c>
      <c r="B36" t="s">
        <v>20</v>
      </c>
      <c r="C36">
        <v>43</v>
      </c>
      <c r="D36" t="s">
        <v>67</v>
      </c>
      <c r="E36" t="s">
        <v>139</v>
      </c>
      <c r="F36" t="s">
        <v>189</v>
      </c>
      <c r="G36" t="str">
        <f>TEXT(Patient_Visits[[#This Row],[Visit_Date (Updated)]],"MM")</f>
        <v>07</v>
      </c>
      <c r="H36" t="str">
        <f>TEXT(Patient_Visits[[#This Row],[Visit_Date (Updated)]],"MMMM")</f>
        <v>July</v>
      </c>
      <c r="I36" t="s">
        <v>36</v>
      </c>
      <c r="J36" t="s">
        <v>141</v>
      </c>
      <c r="K36" t="s">
        <v>93</v>
      </c>
      <c r="L36" t="s">
        <v>39</v>
      </c>
      <c r="M36" t="s">
        <v>190</v>
      </c>
      <c r="N36">
        <v>70</v>
      </c>
      <c r="O36">
        <v>36.388888888888886</v>
      </c>
      <c r="P36">
        <v>75</v>
      </c>
      <c r="Q36">
        <v>179</v>
      </c>
      <c r="R36">
        <v>23.4</v>
      </c>
      <c r="S36" t="s">
        <v>47</v>
      </c>
      <c r="T36">
        <v>31839</v>
      </c>
      <c r="U36" t="s">
        <v>48</v>
      </c>
      <c r="V36" t="s">
        <v>31</v>
      </c>
    </row>
    <row r="37" spans="1:22" x14ac:dyDescent="0.25">
      <c r="A37" t="s">
        <v>191</v>
      </c>
      <c r="B37" t="s">
        <v>33</v>
      </c>
      <c r="C37">
        <v>62</v>
      </c>
      <c r="D37" t="s">
        <v>67</v>
      </c>
      <c r="E37" t="s">
        <v>116</v>
      </c>
      <c r="F37" t="s">
        <v>192</v>
      </c>
      <c r="G37" t="str">
        <f>TEXT(Patient_Visits[[#This Row],[Visit_Date (Updated)]],"MM")</f>
        <v>10</v>
      </c>
      <c r="H37" t="str">
        <f>TEXT(Patient_Visits[[#This Row],[Visit_Date (Updated)]],"MMMM")</f>
        <v>October</v>
      </c>
      <c r="I37" t="s">
        <v>77</v>
      </c>
      <c r="J37" t="s">
        <v>141</v>
      </c>
      <c r="K37" t="s">
        <v>45</v>
      </c>
      <c r="L37" t="s">
        <v>99</v>
      </c>
      <c r="M37" t="s">
        <v>193</v>
      </c>
      <c r="N37">
        <v>65</v>
      </c>
      <c r="O37">
        <v>37.1</v>
      </c>
      <c r="P37">
        <v>65.8</v>
      </c>
      <c r="Q37">
        <v>184</v>
      </c>
      <c r="R37">
        <v>19.399999999999999</v>
      </c>
      <c r="S37" t="s">
        <v>41</v>
      </c>
      <c r="T37">
        <v>119293</v>
      </c>
      <c r="U37" t="s">
        <v>30</v>
      </c>
      <c r="V37" t="s">
        <v>31</v>
      </c>
    </row>
    <row r="38" spans="1:22" x14ac:dyDescent="0.25">
      <c r="A38" t="s">
        <v>194</v>
      </c>
      <c r="B38" t="s">
        <v>43</v>
      </c>
      <c r="C38">
        <v>54</v>
      </c>
      <c r="D38" t="s">
        <v>67</v>
      </c>
      <c r="E38" t="s">
        <v>34</v>
      </c>
      <c r="F38" t="s">
        <v>195</v>
      </c>
      <c r="G38" t="str">
        <f>TEXT(Patient_Visits[[#This Row],[Visit_Date (Updated)]],"MM")</f>
        <v>07</v>
      </c>
      <c r="H38" t="str">
        <f>TEXT(Patient_Visits[[#This Row],[Visit_Date (Updated)]],"MMMM")</f>
        <v>July</v>
      </c>
      <c r="I38" t="s">
        <v>98</v>
      </c>
      <c r="J38" t="s">
        <v>53</v>
      </c>
      <c r="K38" t="s">
        <v>38</v>
      </c>
      <c r="L38" t="s">
        <v>39</v>
      </c>
      <c r="M38" t="s">
        <v>196</v>
      </c>
      <c r="N38">
        <v>68</v>
      </c>
      <c r="O38">
        <v>38.4</v>
      </c>
      <c r="P38">
        <v>77</v>
      </c>
      <c r="Q38">
        <v>161</v>
      </c>
      <c r="R38">
        <v>29.7</v>
      </c>
      <c r="S38" t="s">
        <v>29</v>
      </c>
      <c r="T38">
        <v>38523</v>
      </c>
      <c r="U38" t="s">
        <v>30</v>
      </c>
      <c r="V38" t="s">
        <v>31</v>
      </c>
    </row>
    <row r="39" spans="1:22" x14ac:dyDescent="0.25">
      <c r="A39" t="s">
        <v>197</v>
      </c>
      <c r="B39" t="s">
        <v>50</v>
      </c>
      <c r="C39">
        <v>56</v>
      </c>
      <c r="D39" t="s">
        <v>67</v>
      </c>
      <c r="E39" t="s">
        <v>22</v>
      </c>
      <c r="F39" t="s">
        <v>198</v>
      </c>
      <c r="G39" t="str">
        <f>TEXT(Patient_Visits[[#This Row],[Visit_Date (Updated)]],"MM")</f>
        <v>06</v>
      </c>
      <c r="H39" t="str">
        <f>TEXT(Patient_Visits[[#This Row],[Visit_Date (Updated)]],"MMMM")</f>
        <v>June</v>
      </c>
      <c r="I39" t="s">
        <v>24</v>
      </c>
      <c r="J39" t="s">
        <v>141</v>
      </c>
      <c r="K39" t="s">
        <v>38</v>
      </c>
      <c r="L39" t="s">
        <v>39</v>
      </c>
      <c r="M39" t="s">
        <v>199</v>
      </c>
      <c r="N39">
        <v>60</v>
      </c>
      <c r="O39">
        <v>36.299999999999997</v>
      </c>
      <c r="P39">
        <v>105.1</v>
      </c>
      <c r="Q39">
        <v>181</v>
      </c>
      <c r="R39">
        <v>32.1</v>
      </c>
      <c r="S39" t="s">
        <v>55</v>
      </c>
      <c r="T39">
        <v>500</v>
      </c>
      <c r="U39" t="s">
        <v>30</v>
      </c>
      <c r="V39" t="s">
        <v>56</v>
      </c>
    </row>
    <row r="40" spans="1:22" x14ac:dyDescent="0.25">
      <c r="A40" t="s">
        <v>200</v>
      </c>
      <c r="B40" t="s">
        <v>58</v>
      </c>
      <c r="C40">
        <v>24</v>
      </c>
      <c r="D40" t="s">
        <v>59</v>
      </c>
      <c r="E40" t="s">
        <v>96</v>
      </c>
      <c r="F40" t="s">
        <v>201</v>
      </c>
      <c r="G40" t="str">
        <f>TEXT(Patient_Visits[[#This Row],[Visit_Date (Updated)]],"MM")</f>
        <v>12</v>
      </c>
      <c r="H40" t="str">
        <f>TEXT(Patient_Visits[[#This Row],[Visit_Date (Updated)]],"MMMM")</f>
        <v>December</v>
      </c>
      <c r="I40" t="s">
        <v>36</v>
      </c>
      <c r="J40" t="s">
        <v>70</v>
      </c>
      <c r="K40" t="s">
        <v>45</v>
      </c>
      <c r="L40" t="s">
        <v>27</v>
      </c>
      <c r="M40" t="s">
        <v>202</v>
      </c>
      <c r="N40">
        <v>74</v>
      </c>
      <c r="O40">
        <v>38</v>
      </c>
      <c r="P40">
        <v>42.6</v>
      </c>
      <c r="Q40">
        <v>167</v>
      </c>
      <c r="R40">
        <v>15.3</v>
      </c>
      <c r="S40" t="s">
        <v>41</v>
      </c>
      <c r="T40">
        <v>85113</v>
      </c>
      <c r="U40" t="s">
        <v>48</v>
      </c>
      <c r="V40" t="s">
        <v>31</v>
      </c>
    </row>
    <row r="41" spans="1:22" x14ac:dyDescent="0.25">
      <c r="A41" t="s">
        <v>203</v>
      </c>
      <c r="B41" t="s">
        <v>66</v>
      </c>
      <c r="C41">
        <v>19</v>
      </c>
      <c r="D41" t="s">
        <v>21</v>
      </c>
      <c r="E41" t="s">
        <v>96</v>
      </c>
      <c r="F41" t="s">
        <v>204</v>
      </c>
      <c r="G41" t="str">
        <f>TEXT(Patient_Visits[[#This Row],[Visit_Date (Updated)]],"MM")</f>
        <v>06</v>
      </c>
      <c r="H41" t="str">
        <f>TEXT(Patient_Visits[[#This Row],[Visit_Date (Updated)]],"MMMM")</f>
        <v>June</v>
      </c>
      <c r="I41" t="s">
        <v>52</v>
      </c>
      <c r="J41" t="s">
        <v>37</v>
      </c>
      <c r="K41" t="s">
        <v>108</v>
      </c>
      <c r="L41" t="s">
        <v>39</v>
      </c>
      <c r="M41" t="s">
        <v>205</v>
      </c>
      <c r="N41">
        <v>110</v>
      </c>
      <c r="O41">
        <v>38.1</v>
      </c>
      <c r="P41">
        <v>40.700000000000003</v>
      </c>
      <c r="Q41">
        <v>167</v>
      </c>
      <c r="R41">
        <v>14.6</v>
      </c>
      <c r="S41" t="s">
        <v>55</v>
      </c>
      <c r="T41">
        <v>39517</v>
      </c>
      <c r="U41" t="s">
        <v>48</v>
      </c>
      <c r="V41" t="s">
        <v>56</v>
      </c>
    </row>
    <row r="42" spans="1:22" x14ac:dyDescent="0.25">
      <c r="A42" t="s">
        <v>206</v>
      </c>
      <c r="B42" t="s">
        <v>76</v>
      </c>
      <c r="C42">
        <v>65</v>
      </c>
      <c r="D42" t="s">
        <v>21</v>
      </c>
      <c r="E42" t="s">
        <v>34</v>
      </c>
      <c r="F42" t="s">
        <v>207</v>
      </c>
      <c r="G42" t="str">
        <f>TEXT(Patient_Visits[[#This Row],[Visit_Date (Updated)]],"MM")</f>
        <v>01</v>
      </c>
      <c r="H42" t="str">
        <f>TEXT(Patient_Visits[[#This Row],[Visit_Date (Updated)]],"MMMM")</f>
        <v>January</v>
      </c>
      <c r="I42" t="s">
        <v>83</v>
      </c>
      <c r="J42" t="s">
        <v>53</v>
      </c>
      <c r="K42" t="s">
        <v>38</v>
      </c>
      <c r="L42" t="s">
        <v>27</v>
      </c>
      <c r="M42" t="s">
        <v>208</v>
      </c>
      <c r="N42">
        <v>103</v>
      </c>
      <c r="O42">
        <v>38.299999999999997</v>
      </c>
      <c r="P42">
        <v>45.7</v>
      </c>
      <c r="Q42">
        <v>162</v>
      </c>
      <c r="R42">
        <v>17.399999999999999</v>
      </c>
      <c r="S42" t="s">
        <v>55</v>
      </c>
      <c r="T42">
        <v>0</v>
      </c>
      <c r="U42" t="s">
        <v>152</v>
      </c>
      <c r="V42" t="s">
        <v>31</v>
      </c>
    </row>
    <row r="43" spans="1:22" x14ac:dyDescent="0.25">
      <c r="A43" t="s">
        <v>209</v>
      </c>
      <c r="B43" t="s">
        <v>81</v>
      </c>
      <c r="C43">
        <v>0</v>
      </c>
      <c r="D43" t="s">
        <v>67</v>
      </c>
      <c r="E43" t="s">
        <v>132</v>
      </c>
      <c r="F43" t="s">
        <v>210</v>
      </c>
      <c r="G43" t="str">
        <f>TEXT(Patient_Visits[[#This Row],[Visit_Date (Updated)]],"MM")</f>
        <v>12</v>
      </c>
      <c r="H43" t="str">
        <f>TEXT(Patient_Visits[[#This Row],[Visit_Date (Updated)]],"MMMM")</f>
        <v>December</v>
      </c>
      <c r="I43" t="s">
        <v>83</v>
      </c>
      <c r="J43" t="s">
        <v>141</v>
      </c>
      <c r="K43" t="s">
        <v>38</v>
      </c>
      <c r="L43" t="s">
        <v>63</v>
      </c>
      <c r="M43" t="s">
        <v>211</v>
      </c>
      <c r="N43">
        <v>73</v>
      </c>
      <c r="O43">
        <v>37.700000000000003</v>
      </c>
      <c r="P43">
        <v>54</v>
      </c>
      <c r="Q43">
        <v>160</v>
      </c>
      <c r="R43">
        <v>21.1</v>
      </c>
      <c r="S43" t="s">
        <v>41</v>
      </c>
      <c r="T43">
        <v>63963</v>
      </c>
      <c r="U43" t="s">
        <v>30</v>
      </c>
      <c r="V43" t="s">
        <v>31</v>
      </c>
    </row>
    <row r="44" spans="1:22" x14ac:dyDescent="0.25">
      <c r="A44" t="s">
        <v>212</v>
      </c>
      <c r="B44" t="s">
        <v>87</v>
      </c>
      <c r="C44">
        <v>42</v>
      </c>
      <c r="D44" t="s">
        <v>21</v>
      </c>
      <c r="E44" t="s">
        <v>68</v>
      </c>
      <c r="F44" t="s">
        <v>213</v>
      </c>
      <c r="G44" t="str">
        <f>TEXT(Patient_Visits[[#This Row],[Visit_Date (Updated)]],"MM")</f>
        <v>11</v>
      </c>
      <c r="H44" t="str">
        <f>TEXT(Patient_Visits[[#This Row],[Visit_Date (Updated)]],"MMMM")</f>
        <v>November</v>
      </c>
      <c r="I44" t="s">
        <v>77</v>
      </c>
      <c r="J44" t="s">
        <v>141</v>
      </c>
      <c r="K44" t="s">
        <v>89</v>
      </c>
      <c r="L44" t="s">
        <v>39</v>
      </c>
      <c r="M44" t="s">
        <v>214</v>
      </c>
      <c r="N44">
        <v>85</v>
      </c>
      <c r="O44">
        <v>36.200000000000003</v>
      </c>
      <c r="P44">
        <v>41.7</v>
      </c>
      <c r="Q44">
        <v>186</v>
      </c>
      <c r="R44">
        <v>12.1</v>
      </c>
      <c r="S44" t="s">
        <v>41</v>
      </c>
      <c r="T44">
        <v>57445</v>
      </c>
      <c r="U44" t="s">
        <v>30</v>
      </c>
      <c r="V44" t="s">
        <v>56</v>
      </c>
    </row>
    <row r="45" spans="1:22" x14ac:dyDescent="0.25">
      <c r="A45" t="s">
        <v>215</v>
      </c>
      <c r="B45" t="s">
        <v>95</v>
      </c>
      <c r="C45">
        <v>11</v>
      </c>
      <c r="D45" t="s">
        <v>67</v>
      </c>
      <c r="E45" t="s">
        <v>34</v>
      </c>
      <c r="F45" t="s">
        <v>44</v>
      </c>
      <c r="G45" t="str">
        <f>TEXT(Patient_Visits[[#This Row],[Visit_Date (Updated)]],"MM")</f>
        <v>07</v>
      </c>
      <c r="H45" t="str">
        <f>TEXT(Patient_Visits[[#This Row],[Visit_Date (Updated)]],"MMMM")</f>
        <v>July</v>
      </c>
      <c r="I45" t="s">
        <v>52</v>
      </c>
      <c r="J45" t="s">
        <v>70</v>
      </c>
      <c r="K45" t="s">
        <v>108</v>
      </c>
      <c r="L45" t="s">
        <v>63</v>
      </c>
      <c r="M45" t="s">
        <v>216</v>
      </c>
      <c r="N45">
        <v>61</v>
      </c>
      <c r="O45">
        <v>38.200000000000003</v>
      </c>
      <c r="P45">
        <v>57.4</v>
      </c>
      <c r="Q45">
        <v>188</v>
      </c>
      <c r="R45">
        <v>16.2</v>
      </c>
      <c r="S45" t="s">
        <v>55</v>
      </c>
      <c r="T45">
        <v>8328</v>
      </c>
      <c r="U45" t="s">
        <v>48</v>
      </c>
      <c r="V45" t="s">
        <v>56</v>
      </c>
    </row>
    <row r="46" spans="1:22" x14ac:dyDescent="0.25">
      <c r="A46" t="s">
        <v>217</v>
      </c>
      <c r="B46" t="s">
        <v>102</v>
      </c>
      <c r="C46">
        <v>64</v>
      </c>
      <c r="D46" t="s">
        <v>21</v>
      </c>
      <c r="E46" t="s">
        <v>60</v>
      </c>
      <c r="F46" t="s">
        <v>218</v>
      </c>
      <c r="G46" t="str">
        <f>TEXT(Patient_Visits[[#This Row],[Visit_Date (Updated)]],"MM")</f>
        <v>05</v>
      </c>
      <c r="H46" t="str">
        <f>TEXT(Patient_Visits[[#This Row],[Visit_Date (Updated)]],"MMMM")</f>
        <v>May</v>
      </c>
      <c r="I46" t="s">
        <v>77</v>
      </c>
      <c r="J46" t="s">
        <v>25</v>
      </c>
      <c r="K46" t="s">
        <v>62</v>
      </c>
      <c r="L46" t="s">
        <v>63</v>
      </c>
      <c r="M46" t="s">
        <v>219</v>
      </c>
      <c r="N46">
        <v>81</v>
      </c>
      <c r="O46">
        <v>39.4</v>
      </c>
      <c r="P46">
        <v>83.2</v>
      </c>
      <c r="Q46">
        <v>164</v>
      </c>
      <c r="R46">
        <v>30.9</v>
      </c>
      <c r="S46" t="s">
        <v>73</v>
      </c>
      <c r="T46">
        <v>39127</v>
      </c>
      <c r="U46" t="s">
        <v>48</v>
      </c>
      <c r="V46" t="s">
        <v>56</v>
      </c>
    </row>
    <row r="47" spans="1:22" x14ac:dyDescent="0.25">
      <c r="A47" t="s">
        <v>220</v>
      </c>
      <c r="B47" t="s">
        <v>106</v>
      </c>
      <c r="C47">
        <v>13</v>
      </c>
      <c r="D47" t="s">
        <v>21</v>
      </c>
      <c r="E47" t="s">
        <v>34</v>
      </c>
      <c r="F47" t="s">
        <v>221</v>
      </c>
      <c r="G47" t="str">
        <f>TEXT(Patient_Visits[[#This Row],[Visit_Date (Updated)]],"MM")</f>
        <v>02</v>
      </c>
      <c r="H47" t="str">
        <f>TEXT(Patient_Visits[[#This Row],[Visit_Date (Updated)]],"MMMM")</f>
        <v>February</v>
      </c>
      <c r="I47" t="s">
        <v>83</v>
      </c>
      <c r="J47" t="s">
        <v>70</v>
      </c>
      <c r="K47" t="s">
        <v>78</v>
      </c>
      <c r="L47" t="s">
        <v>63</v>
      </c>
      <c r="M47" t="s">
        <v>222</v>
      </c>
      <c r="N47">
        <v>68</v>
      </c>
      <c r="O47">
        <v>39.200000000000003</v>
      </c>
      <c r="P47">
        <v>52.8</v>
      </c>
      <c r="Q47">
        <v>167</v>
      </c>
      <c r="R47">
        <v>18.899999999999999</v>
      </c>
      <c r="S47" t="s">
        <v>41</v>
      </c>
      <c r="T47">
        <v>82594</v>
      </c>
      <c r="U47" t="s">
        <v>30</v>
      </c>
      <c r="V47" t="s">
        <v>31</v>
      </c>
    </row>
    <row r="48" spans="1:22" x14ac:dyDescent="0.25">
      <c r="A48" t="s">
        <v>223</v>
      </c>
      <c r="B48" t="s">
        <v>111</v>
      </c>
      <c r="C48">
        <v>45</v>
      </c>
      <c r="D48" t="s">
        <v>67</v>
      </c>
      <c r="E48" t="s">
        <v>132</v>
      </c>
      <c r="F48" t="s">
        <v>224</v>
      </c>
      <c r="G48" t="str">
        <f>TEXT(Patient_Visits[[#This Row],[Visit_Date (Updated)]],"MM")</f>
        <v>11</v>
      </c>
      <c r="H48" t="str">
        <f>TEXT(Patient_Visits[[#This Row],[Visit_Date (Updated)]],"MMMM")</f>
        <v>November</v>
      </c>
      <c r="I48" t="s">
        <v>24</v>
      </c>
      <c r="J48" t="s">
        <v>37</v>
      </c>
      <c r="K48" t="s">
        <v>108</v>
      </c>
      <c r="L48" t="s">
        <v>39</v>
      </c>
      <c r="M48" t="s">
        <v>225</v>
      </c>
      <c r="N48">
        <v>86</v>
      </c>
      <c r="O48">
        <v>36.200000000000003</v>
      </c>
      <c r="P48">
        <v>42.4</v>
      </c>
      <c r="Q48">
        <v>183</v>
      </c>
      <c r="R48">
        <v>12.7</v>
      </c>
      <c r="S48" t="s">
        <v>47</v>
      </c>
      <c r="T48">
        <v>45697</v>
      </c>
      <c r="U48" t="s">
        <v>30</v>
      </c>
      <c r="V48" t="s">
        <v>31</v>
      </c>
    </row>
    <row r="49" spans="1:22" x14ac:dyDescent="0.25">
      <c r="A49" t="s">
        <v>226</v>
      </c>
      <c r="B49" t="s">
        <v>172</v>
      </c>
      <c r="C49">
        <v>18</v>
      </c>
      <c r="D49" t="s">
        <v>21</v>
      </c>
      <c r="E49" t="s">
        <v>139</v>
      </c>
      <c r="F49" t="s">
        <v>227</v>
      </c>
      <c r="G49" t="str">
        <f>TEXT(Patient_Visits[[#This Row],[Visit_Date (Updated)]],"MM")</f>
        <v>11</v>
      </c>
      <c r="H49" t="str">
        <f>TEXT(Patient_Visits[[#This Row],[Visit_Date (Updated)]],"MMMM")</f>
        <v>November</v>
      </c>
      <c r="I49" t="s">
        <v>24</v>
      </c>
      <c r="J49" t="s">
        <v>141</v>
      </c>
      <c r="K49" t="s">
        <v>45</v>
      </c>
      <c r="L49" t="s">
        <v>39</v>
      </c>
      <c r="M49" t="s">
        <v>228</v>
      </c>
      <c r="N49">
        <v>71</v>
      </c>
      <c r="O49">
        <v>36.799999999999997</v>
      </c>
      <c r="P49">
        <v>69.2</v>
      </c>
      <c r="Q49">
        <v>187</v>
      </c>
      <c r="R49">
        <v>19.8</v>
      </c>
      <c r="S49" t="s">
        <v>41</v>
      </c>
      <c r="T49">
        <v>101038</v>
      </c>
      <c r="U49" t="s">
        <v>74</v>
      </c>
      <c r="V49" t="s">
        <v>56</v>
      </c>
    </row>
    <row r="50" spans="1:22" x14ac:dyDescent="0.25">
      <c r="A50" t="s">
        <v>229</v>
      </c>
      <c r="B50" t="s">
        <v>176</v>
      </c>
      <c r="C50">
        <v>42</v>
      </c>
      <c r="D50" t="s">
        <v>67</v>
      </c>
      <c r="E50" t="s">
        <v>139</v>
      </c>
      <c r="F50" t="s">
        <v>230</v>
      </c>
      <c r="G50" t="str">
        <f>TEXT(Patient_Visits[[#This Row],[Visit_Date (Updated)]],"MM")</f>
        <v>10</v>
      </c>
      <c r="H50" t="str">
        <f>TEXT(Patient_Visits[[#This Row],[Visit_Date (Updated)]],"MMMM")</f>
        <v>October</v>
      </c>
      <c r="I50" t="s">
        <v>98</v>
      </c>
      <c r="J50" t="s">
        <v>53</v>
      </c>
      <c r="K50" t="s">
        <v>93</v>
      </c>
      <c r="L50" t="s">
        <v>63</v>
      </c>
      <c r="M50" t="s">
        <v>231</v>
      </c>
      <c r="N50">
        <v>75</v>
      </c>
      <c r="O50">
        <v>36.700000000000003</v>
      </c>
      <c r="P50">
        <v>56.5</v>
      </c>
      <c r="Q50">
        <v>166</v>
      </c>
      <c r="R50">
        <v>20.5</v>
      </c>
      <c r="S50" t="s">
        <v>47</v>
      </c>
      <c r="T50">
        <v>27674</v>
      </c>
      <c r="U50" t="s">
        <v>48</v>
      </c>
      <c r="V50" t="s">
        <v>56</v>
      </c>
    </row>
    <row r="51" spans="1:22" x14ac:dyDescent="0.25">
      <c r="A51" t="s">
        <v>232</v>
      </c>
      <c r="B51" t="s">
        <v>115</v>
      </c>
      <c r="C51">
        <v>55</v>
      </c>
      <c r="D51" t="s">
        <v>67</v>
      </c>
      <c r="E51" t="s">
        <v>34</v>
      </c>
      <c r="F51" t="s">
        <v>233</v>
      </c>
      <c r="G51" t="str">
        <f>TEXT(Patient_Visits[[#This Row],[Visit_Date (Updated)]],"MM")</f>
        <v>09</v>
      </c>
      <c r="H51" t="str">
        <f>TEXT(Patient_Visits[[#This Row],[Visit_Date (Updated)]],"MMMM")</f>
        <v>September</v>
      </c>
      <c r="I51" t="s">
        <v>52</v>
      </c>
      <c r="J51" t="s">
        <v>141</v>
      </c>
      <c r="K51" t="s">
        <v>118</v>
      </c>
      <c r="L51" t="s">
        <v>39</v>
      </c>
      <c r="M51" t="s">
        <v>234</v>
      </c>
      <c r="N51">
        <v>60</v>
      </c>
      <c r="O51">
        <v>37.700000000000003</v>
      </c>
      <c r="P51">
        <v>97.3</v>
      </c>
      <c r="Q51">
        <v>176</v>
      </c>
      <c r="R51">
        <v>31.4</v>
      </c>
      <c r="S51" t="s">
        <v>73</v>
      </c>
      <c r="T51">
        <v>8290</v>
      </c>
      <c r="U51" t="s">
        <v>48</v>
      </c>
      <c r="V51" t="s">
        <v>56</v>
      </c>
    </row>
    <row r="52" spans="1:22" x14ac:dyDescent="0.25">
      <c r="A52" t="s">
        <v>235</v>
      </c>
      <c r="B52" t="s">
        <v>121</v>
      </c>
      <c r="C52">
        <v>20</v>
      </c>
      <c r="D52" t="s">
        <v>21</v>
      </c>
      <c r="E52" t="s">
        <v>34</v>
      </c>
      <c r="F52" t="s">
        <v>236</v>
      </c>
      <c r="G52" t="str">
        <f>TEXT(Patient_Visits[[#This Row],[Visit_Date (Updated)]],"MM")</f>
        <v>11</v>
      </c>
      <c r="H52" t="str">
        <f>TEXT(Patient_Visits[[#This Row],[Visit_Date (Updated)]],"MMMM")</f>
        <v>November</v>
      </c>
      <c r="I52" t="s">
        <v>52</v>
      </c>
      <c r="J52" t="s">
        <v>141</v>
      </c>
      <c r="K52" t="s">
        <v>45</v>
      </c>
      <c r="L52" t="s">
        <v>63</v>
      </c>
      <c r="M52" t="s">
        <v>237</v>
      </c>
      <c r="N52">
        <v>88</v>
      </c>
      <c r="O52">
        <v>38.1</v>
      </c>
      <c r="P52">
        <v>94.2</v>
      </c>
      <c r="Q52">
        <v>190</v>
      </c>
      <c r="R52">
        <v>26.1</v>
      </c>
      <c r="S52" t="s">
        <v>29</v>
      </c>
      <c r="T52">
        <v>16864</v>
      </c>
      <c r="U52" t="s">
        <v>74</v>
      </c>
      <c r="V52" t="s">
        <v>31</v>
      </c>
    </row>
    <row r="53" spans="1:22" x14ac:dyDescent="0.25">
      <c r="A53" t="s">
        <v>238</v>
      </c>
      <c r="B53" t="s">
        <v>125</v>
      </c>
      <c r="C53">
        <v>32</v>
      </c>
      <c r="D53" t="s">
        <v>21</v>
      </c>
      <c r="E53" t="s">
        <v>132</v>
      </c>
      <c r="F53" t="s">
        <v>239</v>
      </c>
      <c r="G53" t="str">
        <f>TEXT(Patient_Visits[[#This Row],[Visit_Date (Updated)]],"MM")</f>
        <v>03</v>
      </c>
      <c r="H53" t="str">
        <f>TEXT(Patient_Visits[[#This Row],[Visit_Date (Updated)]],"MMMM")</f>
        <v>March</v>
      </c>
      <c r="I53" t="s">
        <v>24</v>
      </c>
      <c r="J53" t="s">
        <v>141</v>
      </c>
      <c r="K53" t="s">
        <v>93</v>
      </c>
      <c r="L53" t="s">
        <v>27</v>
      </c>
      <c r="M53" t="s">
        <v>240</v>
      </c>
      <c r="N53">
        <v>80</v>
      </c>
      <c r="O53">
        <v>37.4</v>
      </c>
      <c r="P53">
        <v>66</v>
      </c>
      <c r="Q53">
        <v>187</v>
      </c>
      <c r="R53">
        <v>18.899999999999999</v>
      </c>
      <c r="S53" t="s">
        <v>73</v>
      </c>
      <c r="T53">
        <v>13215</v>
      </c>
      <c r="U53" t="s">
        <v>30</v>
      </c>
      <c r="V53" t="s">
        <v>56</v>
      </c>
    </row>
    <row r="54" spans="1:22" x14ac:dyDescent="0.25">
      <c r="A54" t="s">
        <v>241</v>
      </c>
      <c r="B54" t="s">
        <v>20</v>
      </c>
      <c r="C54">
        <v>68</v>
      </c>
      <c r="D54" t="s">
        <v>67</v>
      </c>
      <c r="E54" t="s">
        <v>96</v>
      </c>
      <c r="F54" t="s">
        <v>242</v>
      </c>
      <c r="G54" t="str">
        <f>TEXT(Patient_Visits[[#This Row],[Visit_Date (Updated)]],"MM")</f>
        <v>07</v>
      </c>
      <c r="H54" t="str">
        <f>TEXT(Patient_Visits[[#This Row],[Visit_Date (Updated)]],"MMMM")</f>
        <v>July</v>
      </c>
      <c r="I54" t="s">
        <v>24</v>
      </c>
      <c r="J54" t="s">
        <v>70</v>
      </c>
      <c r="K54" t="s">
        <v>26</v>
      </c>
      <c r="L54" t="s">
        <v>99</v>
      </c>
      <c r="M54" t="s">
        <v>243</v>
      </c>
      <c r="N54">
        <v>101</v>
      </c>
      <c r="O54">
        <v>38.833333333333336</v>
      </c>
      <c r="P54">
        <v>68.7</v>
      </c>
      <c r="Q54">
        <v>166</v>
      </c>
      <c r="R54">
        <v>24.9</v>
      </c>
      <c r="S54" t="s">
        <v>73</v>
      </c>
      <c r="T54">
        <v>57767</v>
      </c>
      <c r="U54" t="s">
        <v>30</v>
      </c>
      <c r="V54" t="s">
        <v>31</v>
      </c>
    </row>
    <row r="55" spans="1:22" x14ac:dyDescent="0.25">
      <c r="A55" t="s">
        <v>244</v>
      </c>
      <c r="B55" t="s">
        <v>33</v>
      </c>
      <c r="C55">
        <v>50</v>
      </c>
      <c r="D55" t="s">
        <v>67</v>
      </c>
      <c r="E55" t="s">
        <v>22</v>
      </c>
      <c r="F55" t="s">
        <v>245</v>
      </c>
      <c r="G55" t="str">
        <f>TEXT(Patient_Visits[[#This Row],[Visit_Date (Updated)]],"MM")</f>
        <v>01</v>
      </c>
      <c r="H55" t="str">
        <f>TEXT(Patient_Visits[[#This Row],[Visit_Date (Updated)]],"MMMM")</f>
        <v>January</v>
      </c>
      <c r="I55" t="s">
        <v>98</v>
      </c>
      <c r="J55" t="s">
        <v>141</v>
      </c>
      <c r="K55" t="s">
        <v>78</v>
      </c>
      <c r="L55" t="s">
        <v>39</v>
      </c>
      <c r="M55" t="s">
        <v>240</v>
      </c>
      <c r="N55">
        <v>87</v>
      </c>
      <c r="O55">
        <v>39.200000000000003</v>
      </c>
      <c r="P55">
        <v>69.7</v>
      </c>
      <c r="Q55">
        <v>153</v>
      </c>
      <c r="R55">
        <v>29.8</v>
      </c>
      <c r="S55" t="s">
        <v>55</v>
      </c>
      <c r="T55">
        <v>78732</v>
      </c>
      <c r="U55" t="s">
        <v>48</v>
      </c>
      <c r="V55" t="s">
        <v>31</v>
      </c>
    </row>
    <row r="56" spans="1:22" x14ac:dyDescent="0.25">
      <c r="A56" t="s">
        <v>246</v>
      </c>
      <c r="B56" t="s">
        <v>43</v>
      </c>
      <c r="C56">
        <v>25</v>
      </c>
      <c r="D56" t="s">
        <v>21</v>
      </c>
      <c r="E56" t="s">
        <v>60</v>
      </c>
      <c r="F56" t="s">
        <v>183</v>
      </c>
      <c r="G56" t="str">
        <f>TEXT(Patient_Visits[[#This Row],[Visit_Date (Updated)]],"MM")</f>
        <v>01</v>
      </c>
      <c r="H56" t="str">
        <f>TEXT(Patient_Visits[[#This Row],[Visit_Date (Updated)]],"MMMM")</f>
        <v>January</v>
      </c>
      <c r="I56" t="s">
        <v>52</v>
      </c>
      <c r="J56" t="s">
        <v>141</v>
      </c>
      <c r="K56" t="s">
        <v>78</v>
      </c>
      <c r="L56" t="s">
        <v>27</v>
      </c>
      <c r="M56" t="s">
        <v>247</v>
      </c>
      <c r="N56">
        <v>70</v>
      </c>
      <c r="O56">
        <v>36.5</v>
      </c>
      <c r="P56">
        <v>59.8</v>
      </c>
      <c r="Q56">
        <v>181</v>
      </c>
      <c r="R56">
        <v>18.3</v>
      </c>
      <c r="S56" t="s">
        <v>41</v>
      </c>
      <c r="T56">
        <v>11794</v>
      </c>
      <c r="U56" t="s">
        <v>30</v>
      </c>
      <c r="V56" t="s">
        <v>31</v>
      </c>
    </row>
    <row r="57" spans="1:22" x14ac:dyDescent="0.25">
      <c r="A57" t="s">
        <v>248</v>
      </c>
      <c r="B57" t="s">
        <v>50</v>
      </c>
      <c r="C57">
        <v>67</v>
      </c>
      <c r="D57" t="s">
        <v>21</v>
      </c>
      <c r="E57" t="s">
        <v>139</v>
      </c>
      <c r="F57" t="s">
        <v>249</v>
      </c>
      <c r="G57" t="str">
        <f>TEXT(Patient_Visits[[#This Row],[Visit_Date (Updated)]],"MM")</f>
        <v>03</v>
      </c>
      <c r="H57" t="str">
        <f>TEXT(Patient_Visits[[#This Row],[Visit_Date (Updated)]],"MMMM")</f>
        <v>March</v>
      </c>
      <c r="I57" t="s">
        <v>24</v>
      </c>
      <c r="J57" t="s">
        <v>70</v>
      </c>
      <c r="K57" t="s">
        <v>71</v>
      </c>
      <c r="L57" t="s">
        <v>27</v>
      </c>
      <c r="M57" t="s">
        <v>250</v>
      </c>
      <c r="N57">
        <v>105</v>
      </c>
      <c r="O57">
        <v>38.200000000000003</v>
      </c>
      <c r="P57">
        <v>97.7</v>
      </c>
      <c r="Q57">
        <v>158</v>
      </c>
      <c r="R57">
        <v>39.1</v>
      </c>
      <c r="S57" t="s">
        <v>41</v>
      </c>
      <c r="T57">
        <v>2000</v>
      </c>
      <c r="U57" t="s">
        <v>74</v>
      </c>
      <c r="V57" t="s">
        <v>56</v>
      </c>
    </row>
    <row r="58" spans="1:22" x14ac:dyDescent="0.25">
      <c r="A58" t="s">
        <v>251</v>
      </c>
      <c r="B58" t="s">
        <v>58</v>
      </c>
      <c r="C58">
        <v>65</v>
      </c>
      <c r="D58" t="s">
        <v>59</v>
      </c>
      <c r="E58" t="s">
        <v>34</v>
      </c>
      <c r="F58" t="s">
        <v>252</v>
      </c>
      <c r="G58" t="str">
        <f>TEXT(Patient_Visits[[#This Row],[Visit_Date (Updated)]],"MM")</f>
        <v>01</v>
      </c>
      <c r="H58" t="str">
        <f>TEXT(Patient_Visits[[#This Row],[Visit_Date (Updated)]],"MMMM")</f>
        <v>January</v>
      </c>
      <c r="I58" t="s">
        <v>83</v>
      </c>
      <c r="J58" t="s">
        <v>37</v>
      </c>
      <c r="K58" t="s">
        <v>84</v>
      </c>
      <c r="L58" t="s">
        <v>39</v>
      </c>
      <c r="M58" t="s">
        <v>253</v>
      </c>
      <c r="N58">
        <v>69</v>
      </c>
      <c r="O58">
        <v>36.9</v>
      </c>
      <c r="P58">
        <v>90.7</v>
      </c>
      <c r="Q58">
        <v>160</v>
      </c>
      <c r="R58">
        <v>35.4</v>
      </c>
      <c r="S58" t="s">
        <v>29</v>
      </c>
      <c r="T58">
        <v>118849</v>
      </c>
      <c r="U58" t="s">
        <v>74</v>
      </c>
      <c r="V58" t="s">
        <v>56</v>
      </c>
    </row>
    <row r="59" spans="1:22" x14ac:dyDescent="0.25">
      <c r="A59" t="s">
        <v>254</v>
      </c>
      <c r="B59" t="s">
        <v>66</v>
      </c>
      <c r="C59">
        <v>46</v>
      </c>
      <c r="D59" t="s">
        <v>21</v>
      </c>
      <c r="E59" t="s">
        <v>22</v>
      </c>
      <c r="F59" t="s">
        <v>255</v>
      </c>
      <c r="G59" t="str">
        <f>TEXT(Patient_Visits[[#This Row],[Visit_Date (Updated)]],"MM")</f>
        <v>11</v>
      </c>
      <c r="H59" t="str">
        <f>TEXT(Patient_Visits[[#This Row],[Visit_Date (Updated)]],"MMMM")</f>
        <v>November</v>
      </c>
      <c r="I59" t="s">
        <v>83</v>
      </c>
      <c r="J59" t="s">
        <v>37</v>
      </c>
      <c r="K59" t="s">
        <v>93</v>
      </c>
      <c r="L59" t="s">
        <v>39</v>
      </c>
      <c r="M59" t="s">
        <v>256</v>
      </c>
      <c r="N59">
        <v>87</v>
      </c>
      <c r="O59">
        <v>37.4</v>
      </c>
      <c r="P59">
        <v>65.7</v>
      </c>
      <c r="Q59">
        <v>180</v>
      </c>
      <c r="R59">
        <v>20.3</v>
      </c>
      <c r="S59" t="s">
        <v>55</v>
      </c>
      <c r="T59">
        <v>26430</v>
      </c>
      <c r="U59" t="s">
        <v>30</v>
      </c>
      <c r="V59" t="s">
        <v>56</v>
      </c>
    </row>
    <row r="60" spans="1:22" x14ac:dyDescent="0.25">
      <c r="A60" t="s">
        <v>257</v>
      </c>
      <c r="B60" t="s">
        <v>76</v>
      </c>
      <c r="C60">
        <v>67</v>
      </c>
      <c r="D60" t="s">
        <v>67</v>
      </c>
      <c r="E60" t="s">
        <v>34</v>
      </c>
      <c r="F60" t="s">
        <v>258</v>
      </c>
      <c r="G60" t="str">
        <f>TEXT(Patient_Visits[[#This Row],[Visit_Date (Updated)]],"MM")</f>
        <v>08</v>
      </c>
      <c r="H60" t="str">
        <f>TEXT(Patient_Visits[[#This Row],[Visit_Date (Updated)]],"MMMM")</f>
        <v>August</v>
      </c>
      <c r="I60" t="s">
        <v>52</v>
      </c>
      <c r="J60" t="s">
        <v>70</v>
      </c>
      <c r="K60" t="s">
        <v>84</v>
      </c>
      <c r="L60" t="s">
        <v>39</v>
      </c>
      <c r="M60" t="s">
        <v>259</v>
      </c>
      <c r="N60">
        <v>64</v>
      </c>
      <c r="O60">
        <v>36.4</v>
      </c>
      <c r="P60">
        <v>70.099999999999994</v>
      </c>
      <c r="Q60">
        <v>153</v>
      </c>
      <c r="R60">
        <v>29.9</v>
      </c>
      <c r="S60" t="s">
        <v>55</v>
      </c>
      <c r="T60">
        <v>0</v>
      </c>
      <c r="U60" t="s">
        <v>152</v>
      </c>
      <c r="V60" t="s">
        <v>56</v>
      </c>
    </row>
    <row r="61" spans="1:22" x14ac:dyDescent="0.25">
      <c r="A61" t="s">
        <v>260</v>
      </c>
      <c r="B61" t="s">
        <v>81</v>
      </c>
      <c r="C61">
        <v>10</v>
      </c>
      <c r="D61" t="s">
        <v>21</v>
      </c>
      <c r="E61" t="s">
        <v>132</v>
      </c>
      <c r="F61" t="s">
        <v>261</v>
      </c>
      <c r="G61" t="str">
        <f>TEXT(Patient_Visits[[#This Row],[Visit_Date (Updated)]],"MM")</f>
        <v>09</v>
      </c>
      <c r="H61" t="str">
        <f>TEXT(Patient_Visits[[#This Row],[Visit_Date (Updated)]],"MMMM")</f>
        <v>September</v>
      </c>
      <c r="I61" t="s">
        <v>24</v>
      </c>
      <c r="J61" t="s">
        <v>25</v>
      </c>
      <c r="K61" t="s">
        <v>26</v>
      </c>
      <c r="L61" t="s">
        <v>39</v>
      </c>
      <c r="M61" t="s">
        <v>262</v>
      </c>
      <c r="N61">
        <v>64</v>
      </c>
      <c r="O61">
        <v>39.5</v>
      </c>
      <c r="P61">
        <v>91.2</v>
      </c>
      <c r="Q61">
        <v>155</v>
      </c>
      <c r="R61">
        <v>38</v>
      </c>
      <c r="S61" t="s">
        <v>41</v>
      </c>
      <c r="T61">
        <v>20251</v>
      </c>
      <c r="U61" t="s">
        <v>48</v>
      </c>
      <c r="V61" t="s">
        <v>31</v>
      </c>
    </row>
    <row r="62" spans="1:22" x14ac:dyDescent="0.25">
      <c r="A62" t="s">
        <v>263</v>
      </c>
      <c r="B62" t="s">
        <v>87</v>
      </c>
      <c r="C62">
        <v>26</v>
      </c>
      <c r="D62" t="s">
        <v>21</v>
      </c>
      <c r="E62" t="s">
        <v>96</v>
      </c>
      <c r="F62" t="s">
        <v>264</v>
      </c>
      <c r="G62" t="str">
        <f>TEXT(Patient_Visits[[#This Row],[Visit_Date (Updated)]],"MM")</f>
        <v>06</v>
      </c>
      <c r="H62" t="str">
        <f>TEXT(Patient_Visits[[#This Row],[Visit_Date (Updated)]],"MMMM")</f>
        <v>June</v>
      </c>
      <c r="I62" t="s">
        <v>52</v>
      </c>
      <c r="J62" t="s">
        <v>53</v>
      </c>
      <c r="K62" t="s">
        <v>84</v>
      </c>
      <c r="L62" t="s">
        <v>63</v>
      </c>
      <c r="M62" t="s">
        <v>265</v>
      </c>
      <c r="N62">
        <v>69</v>
      </c>
      <c r="O62">
        <v>36.9</v>
      </c>
      <c r="P62">
        <v>107.5</v>
      </c>
      <c r="Q62">
        <v>178</v>
      </c>
      <c r="R62">
        <v>33.9</v>
      </c>
      <c r="S62" t="s">
        <v>41</v>
      </c>
      <c r="T62">
        <v>80579</v>
      </c>
      <c r="U62" t="s">
        <v>48</v>
      </c>
      <c r="V62" t="s">
        <v>56</v>
      </c>
    </row>
    <row r="63" spans="1:22" x14ac:dyDescent="0.25">
      <c r="A63" t="s">
        <v>266</v>
      </c>
      <c r="B63" t="s">
        <v>267</v>
      </c>
      <c r="C63">
        <v>45</v>
      </c>
      <c r="D63" t="s">
        <v>67</v>
      </c>
      <c r="E63" t="s">
        <v>60</v>
      </c>
      <c r="F63" t="s">
        <v>268</v>
      </c>
      <c r="G63" t="str">
        <f>TEXT(Patient_Visits[[#This Row],[Visit_Date (Updated)]],"MM")</f>
        <v>04</v>
      </c>
      <c r="H63" t="str">
        <f>TEXT(Patient_Visits[[#This Row],[Visit_Date (Updated)]],"MMMM")</f>
        <v>April</v>
      </c>
      <c r="I63" t="s">
        <v>77</v>
      </c>
      <c r="J63" t="s">
        <v>70</v>
      </c>
      <c r="K63" t="s">
        <v>84</v>
      </c>
      <c r="L63" t="s">
        <v>63</v>
      </c>
      <c r="M63" t="s">
        <v>269</v>
      </c>
      <c r="N63">
        <v>70</v>
      </c>
      <c r="O63">
        <v>38.799999999999997</v>
      </c>
      <c r="P63">
        <v>58.5</v>
      </c>
      <c r="Q63">
        <v>181</v>
      </c>
      <c r="R63">
        <v>17.899999999999999</v>
      </c>
      <c r="S63" t="s">
        <v>29</v>
      </c>
      <c r="T63">
        <v>86403</v>
      </c>
      <c r="U63" t="s">
        <v>48</v>
      </c>
      <c r="V63" t="s">
        <v>31</v>
      </c>
    </row>
    <row r="64" spans="1:22" x14ac:dyDescent="0.25">
      <c r="A64" t="s">
        <v>270</v>
      </c>
      <c r="B64" t="s">
        <v>95</v>
      </c>
      <c r="C64">
        <v>42</v>
      </c>
      <c r="D64" t="s">
        <v>67</v>
      </c>
      <c r="E64" t="s">
        <v>139</v>
      </c>
      <c r="F64" t="s">
        <v>271</v>
      </c>
      <c r="G64" t="str">
        <f>TEXT(Patient_Visits[[#This Row],[Visit_Date (Updated)]],"MM")</f>
        <v>11</v>
      </c>
      <c r="H64" t="str">
        <f>TEXT(Patient_Visits[[#This Row],[Visit_Date (Updated)]],"MMMM")</f>
        <v>November</v>
      </c>
      <c r="I64" t="s">
        <v>52</v>
      </c>
      <c r="J64" t="s">
        <v>53</v>
      </c>
      <c r="K64" t="s">
        <v>38</v>
      </c>
      <c r="L64" t="s">
        <v>27</v>
      </c>
      <c r="M64" t="s">
        <v>272</v>
      </c>
      <c r="N64">
        <v>78</v>
      </c>
      <c r="O64">
        <v>38.200000000000003</v>
      </c>
      <c r="P64">
        <v>70.3</v>
      </c>
      <c r="Q64">
        <v>180</v>
      </c>
      <c r="R64">
        <v>21.7</v>
      </c>
      <c r="S64" t="s">
        <v>73</v>
      </c>
      <c r="T64">
        <v>9262</v>
      </c>
      <c r="U64" t="s">
        <v>30</v>
      </c>
      <c r="V64" t="s">
        <v>31</v>
      </c>
    </row>
    <row r="65" spans="1:22" x14ac:dyDescent="0.25">
      <c r="A65" t="s">
        <v>273</v>
      </c>
      <c r="B65" t="s">
        <v>102</v>
      </c>
      <c r="C65">
        <v>34</v>
      </c>
      <c r="D65" t="s">
        <v>21</v>
      </c>
      <c r="E65" t="s">
        <v>60</v>
      </c>
      <c r="F65" t="s">
        <v>274</v>
      </c>
      <c r="G65" t="str">
        <f>TEXT(Patient_Visits[[#This Row],[Visit_Date (Updated)]],"MM")</f>
        <v>01</v>
      </c>
      <c r="H65" t="str">
        <f>TEXT(Patient_Visits[[#This Row],[Visit_Date (Updated)]],"MMMM")</f>
        <v>January</v>
      </c>
      <c r="I65" t="s">
        <v>24</v>
      </c>
      <c r="J65" t="s">
        <v>37</v>
      </c>
      <c r="K65" t="s">
        <v>71</v>
      </c>
      <c r="L65" t="s">
        <v>63</v>
      </c>
      <c r="M65" t="s">
        <v>275</v>
      </c>
      <c r="N65">
        <v>82</v>
      </c>
      <c r="O65">
        <v>37.9</v>
      </c>
      <c r="P65">
        <v>68.900000000000006</v>
      </c>
      <c r="Q65">
        <v>167</v>
      </c>
      <c r="R65">
        <v>24.7</v>
      </c>
      <c r="S65" t="s">
        <v>47</v>
      </c>
      <c r="T65">
        <v>20527</v>
      </c>
      <c r="U65" t="s">
        <v>30</v>
      </c>
      <c r="V65" t="s">
        <v>31</v>
      </c>
    </row>
    <row r="66" spans="1:22" x14ac:dyDescent="0.25">
      <c r="A66" t="s">
        <v>276</v>
      </c>
      <c r="B66" t="s">
        <v>106</v>
      </c>
      <c r="C66">
        <v>65</v>
      </c>
      <c r="D66" t="s">
        <v>21</v>
      </c>
      <c r="E66" t="s">
        <v>116</v>
      </c>
      <c r="F66" t="s">
        <v>277</v>
      </c>
      <c r="G66" t="str">
        <f>TEXT(Patient_Visits[[#This Row],[Visit_Date (Updated)]],"MM")</f>
        <v>01</v>
      </c>
      <c r="H66" t="str">
        <f>TEXT(Patient_Visits[[#This Row],[Visit_Date (Updated)]],"MMMM")</f>
        <v>January</v>
      </c>
      <c r="I66" t="s">
        <v>77</v>
      </c>
      <c r="J66" t="s">
        <v>141</v>
      </c>
      <c r="K66" t="s">
        <v>89</v>
      </c>
      <c r="L66" t="s">
        <v>27</v>
      </c>
      <c r="M66" t="s">
        <v>278</v>
      </c>
      <c r="N66">
        <v>102</v>
      </c>
      <c r="O66">
        <v>38.700000000000003</v>
      </c>
      <c r="P66">
        <v>68.099999999999994</v>
      </c>
      <c r="Q66">
        <v>164</v>
      </c>
      <c r="R66">
        <v>25.3</v>
      </c>
      <c r="S66" t="s">
        <v>29</v>
      </c>
      <c r="T66">
        <v>10357</v>
      </c>
      <c r="U66" t="s">
        <v>74</v>
      </c>
      <c r="V66" t="s">
        <v>31</v>
      </c>
    </row>
    <row r="67" spans="1:22" x14ac:dyDescent="0.25">
      <c r="A67" t="s">
        <v>279</v>
      </c>
      <c r="B67" t="s">
        <v>111</v>
      </c>
      <c r="C67">
        <v>61</v>
      </c>
      <c r="D67" t="s">
        <v>67</v>
      </c>
      <c r="E67" t="s">
        <v>34</v>
      </c>
      <c r="F67" t="s">
        <v>280</v>
      </c>
      <c r="G67" t="str">
        <f>TEXT(Patient_Visits[[#This Row],[Visit_Date (Updated)]],"MM")</f>
        <v>03</v>
      </c>
      <c r="H67" t="str">
        <f>TEXT(Patient_Visits[[#This Row],[Visit_Date (Updated)]],"MMMM")</f>
        <v>March</v>
      </c>
      <c r="I67" t="s">
        <v>24</v>
      </c>
      <c r="J67" t="s">
        <v>25</v>
      </c>
      <c r="K67" t="s">
        <v>38</v>
      </c>
      <c r="L67" t="s">
        <v>27</v>
      </c>
      <c r="M67" t="s">
        <v>281</v>
      </c>
      <c r="N67">
        <v>75</v>
      </c>
      <c r="O67">
        <v>36.6</v>
      </c>
      <c r="P67">
        <v>103.8</v>
      </c>
      <c r="Q67">
        <v>154</v>
      </c>
      <c r="R67">
        <v>43.8</v>
      </c>
      <c r="S67" t="s">
        <v>29</v>
      </c>
      <c r="T67">
        <v>83299</v>
      </c>
      <c r="U67" t="s">
        <v>74</v>
      </c>
      <c r="V67" t="s">
        <v>56</v>
      </c>
    </row>
    <row r="68" spans="1:22" x14ac:dyDescent="0.25">
      <c r="A68" t="s">
        <v>282</v>
      </c>
      <c r="B68" t="s">
        <v>172</v>
      </c>
      <c r="C68">
        <v>23</v>
      </c>
      <c r="D68" t="s">
        <v>67</v>
      </c>
      <c r="E68" t="s">
        <v>34</v>
      </c>
      <c r="F68" t="s">
        <v>103</v>
      </c>
      <c r="G68" t="str">
        <f>TEXT(Patient_Visits[[#This Row],[Visit_Date (Updated)]],"MM")</f>
        <v>09</v>
      </c>
      <c r="H68" t="str">
        <f>TEXT(Patient_Visits[[#This Row],[Visit_Date (Updated)]],"MMMM")</f>
        <v>September</v>
      </c>
      <c r="I68" t="s">
        <v>52</v>
      </c>
      <c r="J68" t="s">
        <v>37</v>
      </c>
      <c r="K68" t="s">
        <v>78</v>
      </c>
      <c r="L68" t="s">
        <v>99</v>
      </c>
      <c r="M68" t="s">
        <v>283</v>
      </c>
      <c r="N68">
        <v>64</v>
      </c>
      <c r="O68">
        <v>37.1</v>
      </c>
      <c r="P68">
        <v>43.4</v>
      </c>
      <c r="Q68">
        <v>178</v>
      </c>
      <c r="R68">
        <v>13.7</v>
      </c>
      <c r="S68" t="s">
        <v>47</v>
      </c>
      <c r="T68">
        <v>3832</v>
      </c>
      <c r="U68" t="s">
        <v>48</v>
      </c>
      <c r="V68" t="s">
        <v>31</v>
      </c>
    </row>
    <row r="69" spans="1:22" x14ac:dyDescent="0.25">
      <c r="A69" t="s">
        <v>284</v>
      </c>
      <c r="B69" t="s">
        <v>176</v>
      </c>
      <c r="C69">
        <v>64</v>
      </c>
      <c r="D69" t="s">
        <v>21</v>
      </c>
      <c r="E69" t="s">
        <v>68</v>
      </c>
      <c r="F69" t="s">
        <v>285</v>
      </c>
      <c r="G69" t="str">
        <f>TEXT(Patient_Visits[[#This Row],[Visit_Date (Updated)]],"MM")</f>
        <v>03</v>
      </c>
      <c r="H69" t="str">
        <f>TEXT(Patient_Visits[[#This Row],[Visit_Date (Updated)]],"MMMM")</f>
        <v>March</v>
      </c>
      <c r="I69" t="s">
        <v>77</v>
      </c>
      <c r="J69" t="s">
        <v>25</v>
      </c>
      <c r="K69" t="s">
        <v>93</v>
      </c>
      <c r="L69" t="s">
        <v>99</v>
      </c>
      <c r="M69" t="s">
        <v>286</v>
      </c>
      <c r="N69">
        <v>81</v>
      </c>
      <c r="O69">
        <v>39.1</v>
      </c>
      <c r="P69">
        <v>104.8</v>
      </c>
      <c r="Q69">
        <v>164</v>
      </c>
      <c r="R69">
        <v>39</v>
      </c>
      <c r="S69" t="s">
        <v>29</v>
      </c>
      <c r="T69">
        <v>37863</v>
      </c>
      <c r="U69" t="s">
        <v>74</v>
      </c>
      <c r="V69" t="s">
        <v>31</v>
      </c>
    </row>
    <row r="70" spans="1:22" x14ac:dyDescent="0.25">
      <c r="A70" t="s">
        <v>287</v>
      </c>
      <c r="B70" t="s">
        <v>115</v>
      </c>
      <c r="C70">
        <v>71</v>
      </c>
      <c r="D70" t="s">
        <v>67</v>
      </c>
      <c r="E70" t="s">
        <v>139</v>
      </c>
      <c r="F70" t="s">
        <v>288</v>
      </c>
      <c r="G70" t="str">
        <f>TEXT(Patient_Visits[[#This Row],[Visit_Date (Updated)]],"MM")</f>
        <v>11</v>
      </c>
      <c r="H70" t="str">
        <f>TEXT(Patient_Visits[[#This Row],[Visit_Date (Updated)]],"MMMM")</f>
        <v>November</v>
      </c>
      <c r="I70" t="s">
        <v>77</v>
      </c>
      <c r="J70" t="s">
        <v>25</v>
      </c>
      <c r="K70" t="s">
        <v>118</v>
      </c>
      <c r="L70" t="s">
        <v>27</v>
      </c>
      <c r="M70" t="s">
        <v>289</v>
      </c>
      <c r="N70">
        <v>75</v>
      </c>
      <c r="O70">
        <v>38.9</v>
      </c>
      <c r="P70">
        <v>54.2</v>
      </c>
      <c r="Q70">
        <v>158</v>
      </c>
      <c r="R70">
        <v>21.7</v>
      </c>
      <c r="S70" t="s">
        <v>73</v>
      </c>
      <c r="T70">
        <v>28157</v>
      </c>
      <c r="U70" t="s">
        <v>48</v>
      </c>
      <c r="V70" t="s">
        <v>31</v>
      </c>
    </row>
    <row r="71" spans="1:22" x14ac:dyDescent="0.25">
      <c r="A71" t="s">
        <v>290</v>
      </c>
      <c r="B71" t="s">
        <v>121</v>
      </c>
      <c r="C71">
        <v>35</v>
      </c>
      <c r="D71" t="s">
        <v>67</v>
      </c>
      <c r="E71" t="s">
        <v>68</v>
      </c>
      <c r="F71" t="s">
        <v>291</v>
      </c>
      <c r="G71" t="str">
        <f>TEXT(Patient_Visits[[#This Row],[Visit_Date (Updated)]],"MM")</f>
        <v>08</v>
      </c>
      <c r="H71" t="str">
        <f>TEXT(Patient_Visits[[#This Row],[Visit_Date (Updated)]],"MMMM")</f>
        <v>August</v>
      </c>
      <c r="I71" t="s">
        <v>52</v>
      </c>
      <c r="J71" t="s">
        <v>25</v>
      </c>
      <c r="K71" t="s">
        <v>38</v>
      </c>
      <c r="L71" t="s">
        <v>39</v>
      </c>
      <c r="M71" t="s">
        <v>292</v>
      </c>
      <c r="N71">
        <v>110</v>
      </c>
      <c r="O71">
        <v>36.700000000000003</v>
      </c>
      <c r="P71">
        <v>83.6</v>
      </c>
      <c r="Q71">
        <v>152</v>
      </c>
      <c r="R71">
        <v>36.200000000000003</v>
      </c>
      <c r="S71" t="s">
        <v>47</v>
      </c>
      <c r="T71">
        <v>25484</v>
      </c>
      <c r="U71" t="s">
        <v>30</v>
      </c>
      <c r="V71" t="s">
        <v>56</v>
      </c>
    </row>
    <row r="72" spans="1:22" x14ac:dyDescent="0.25">
      <c r="A72" t="s">
        <v>293</v>
      </c>
      <c r="B72" t="s">
        <v>125</v>
      </c>
      <c r="C72">
        <v>8</v>
      </c>
      <c r="D72" t="s">
        <v>21</v>
      </c>
      <c r="E72" t="s">
        <v>116</v>
      </c>
      <c r="F72" t="s">
        <v>294</v>
      </c>
      <c r="G72" t="str">
        <f>TEXT(Patient_Visits[[#This Row],[Visit_Date (Updated)]],"MM")</f>
        <v>06</v>
      </c>
      <c r="H72" t="str">
        <f>TEXT(Patient_Visits[[#This Row],[Visit_Date (Updated)]],"MMMM")</f>
        <v>June</v>
      </c>
      <c r="I72" t="s">
        <v>77</v>
      </c>
      <c r="J72" t="s">
        <v>25</v>
      </c>
      <c r="K72" t="s">
        <v>38</v>
      </c>
      <c r="L72" t="s">
        <v>27</v>
      </c>
      <c r="M72" t="s">
        <v>295</v>
      </c>
      <c r="N72">
        <v>104</v>
      </c>
      <c r="O72">
        <v>36.200000000000003</v>
      </c>
      <c r="P72">
        <v>43.3</v>
      </c>
      <c r="Q72">
        <v>185</v>
      </c>
      <c r="R72">
        <v>12.7</v>
      </c>
      <c r="S72" t="s">
        <v>73</v>
      </c>
      <c r="T72">
        <v>29124</v>
      </c>
      <c r="U72" t="s">
        <v>74</v>
      </c>
      <c r="V72" t="s">
        <v>56</v>
      </c>
    </row>
    <row r="73" spans="1:22" x14ac:dyDescent="0.25">
      <c r="A73" t="s">
        <v>296</v>
      </c>
      <c r="B73" t="s">
        <v>20</v>
      </c>
      <c r="C73">
        <v>54</v>
      </c>
      <c r="D73" t="s">
        <v>21</v>
      </c>
      <c r="E73" t="s">
        <v>34</v>
      </c>
      <c r="F73" t="s">
        <v>297</v>
      </c>
      <c r="G73" t="str">
        <f>TEXT(Patient_Visits[[#This Row],[Visit_Date (Updated)]],"MM")</f>
        <v>04</v>
      </c>
      <c r="H73" t="str">
        <f>TEXT(Patient_Visits[[#This Row],[Visit_Date (Updated)]],"MMMM")</f>
        <v>April</v>
      </c>
      <c r="I73" t="s">
        <v>77</v>
      </c>
      <c r="J73" t="s">
        <v>25</v>
      </c>
      <c r="K73" t="s">
        <v>38</v>
      </c>
      <c r="L73" t="s">
        <v>27</v>
      </c>
      <c r="M73" t="s">
        <v>298</v>
      </c>
      <c r="N73">
        <v>90</v>
      </c>
      <c r="O73">
        <v>36.5</v>
      </c>
      <c r="P73">
        <v>93</v>
      </c>
      <c r="Q73">
        <v>161</v>
      </c>
      <c r="R73">
        <v>35.9</v>
      </c>
      <c r="S73" t="s">
        <v>73</v>
      </c>
      <c r="T73">
        <v>44830</v>
      </c>
      <c r="U73" t="s">
        <v>48</v>
      </c>
      <c r="V73" t="s">
        <v>31</v>
      </c>
    </row>
    <row r="74" spans="1:22" x14ac:dyDescent="0.25">
      <c r="A74" t="s">
        <v>299</v>
      </c>
      <c r="B74" t="s">
        <v>33</v>
      </c>
      <c r="C74">
        <v>38</v>
      </c>
      <c r="D74" t="s">
        <v>21</v>
      </c>
      <c r="E74" t="s">
        <v>132</v>
      </c>
      <c r="F74" t="s">
        <v>218</v>
      </c>
      <c r="G74" t="str">
        <f>TEXT(Patient_Visits[[#This Row],[Visit_Date (Updated)]],"MM")</f>
        <v>05</v>
      </c>
      <c r="H74" t="str">
        <f>TEXT(Patient_Visits[[#This Row],[Visit_Date (Updated)]],"MMMM")</f>
        <v>May</v>
      </c>
      <c r="I74" t="s">
        <v>98</v>
      </c>
      <c r="J74" t="s">
        <v>25</v>
      </c>
      <c r="K74" t="s">
        <v>71</v>
      </c>
      <c r="L74" t="s">
        <v>63</v>
      </c>
      <c r="M74" t="s">
        <v>300</v>
      </c>
      <c r="N74">
        <v>78</v>
      </c>
      <c r="O74">
        <v>38.200000000000003</v>
      </c>
      <c r="P74">
        <v>42.2</v>
      </c>
      <c r="Q74">
        <v>174</v>
      </c>
      <c r="R74">
        <v>13.9</v>
      </c>
      <c r="S74" t="s">
        <v>29</v>
      </c>
      <c r="T74">
        <v>60206</v>
      </c>
      <c r="U74" t="s">
        <v>74</v>
      </c>
      <c r="V74" t="s">
        <v>56</v>
      </c>
    </row>
    <row r="75" spans="1:22" x14ac:dyDescent="0.25">
      <c r="A75" t="s">
        <v>301</v>
      </c>
      <c r="B75" t="s">
        <v>43</v>
      </c>
      <c r="C75">
        <v>49</v>
      </c>
      <c r="D75" t="s">
        <v>67</v>
      </c>
      <c r="E75" t="s">
        <v>60</v>
      </c>
      <c r="F75" t="s">
        <v>302</v>
      </c>
      <c r="G75" t="str">
        <f>TEXT(Patient_Visits[[#This Row],[Visit_Date (Updated)]],"MM")</f>
        <v>10</v>
      </c>
      <c r="H75" t="str">
        <f>TEXT(Patient_Visits[[#This Row],[Visit_Date (Updated)]],"MMMM")</f>
        <v>October</v>
      </c>
      <c r="I75" t="s">
        <v>52</v>
      </c>
      <c r="J75" t="s">
        <v>141</v>
      </c>
      <c r="K75" t="s">
        <v>45</v>
      </c>
      <c r="L75" t="s">
        <v>63</v>
      </c>
      <c r="M75" t="s">
        <v>303</v>
      </c>
      <c r="N75">
        <v>60</v>
      </c>
      <c r="O75">
        <v>37.799999999999997</v>
      </c>
      <c r="P75">
        <v>60.2</v>
      </c>
      <c r="Q75">
        <v>151</v>
      </c>
      <c r="R75">
        <v>26.4</v>
      </c>
      <c r="S75" t="s">
        <v>29</v>
      </c>
      <c r="T75">
        <v>48587</v>
      </c>
      <c r="U75" t="s">
        <v>48</v>
      </c>
      <c r="V75" t="s">
        <v>56</v>
      </c>
    </row>
    <row r="76" spans="1:22" x14ac:dyDescent="0.25">
      <c r="A76" t="s">
        <v>304</v>
      </c>
      <c r="B76" t="s">
        <v>50</v>
      </c>
      <c r="C76">
        <v>67</v>
      </c>
      <c r="D76" t="s">
        <v>21</v>
      </c>
      <c r="E76" t="s">
        <v>68</v>
      </c>
      <c r="F76" t="s">
        <v>305</v>
      </c>
      <c r="G76" t="str">
        <f>TEXT(Patient_Visits[[#This Row],[Visit_Date (Updated)]],"MM")</f>
        <v>10</v>
      </c>
      <c r="H76" t="str">
        <f>TEXT(Patient_Visits[[#This Row],[Visit_Date (Updated)]],"MMMM")</f>
        <v>October</v>
      </c>
      <c r="I76" t="s">
        <v>98</v>
      </c>
      <c r="J76" t="s">
        <v>37</v>
      </c>
      <c r="K76" t="s">
        <v>93</v>
      </c>
      <c r="L76" t="s">
        <v>99</v>
      </c>
      <c r="M76" t="s">
        <v>306</v>
      </c>
      <c r="N76">
        <v>104</v>
      </c>
      <c r="O76">
        <v>36.799999999999997</v>
      </c>
      <c r="P76">
        <v>51.6</v>
      </c>
      <c r="Q76">
        <v>188</v>
      </c>
      <c r="R76">
        <v>14.6</v>
      </c>
      <c r="S76" t="s">
        <v>29</v>
      </c>
      <c r="T76">
        <v>15000</v>
      </c>
      <c r="U76" t="s">
        <v>74</v>
      </c>
      <c r="V76" t="s">
        <v>56</v>
      </c>
    </row>
    <row r="77" spans="1:22" x14ac:dyDescent="0.25">
      <c r="A77" t="s">
        <v>307</v>
      </c>
      <c r="B77" t="s">
        <v>58</v>
      </c>
      <c r="C77">
        <v>46</v>
      </c>
      <c r="D77" t="s">
        <v>59</v>
      </c>
      <c r="E77" t="s">
        <v>96</v>
      </c>
      <c r="F77" t="s">
        <v>308</v>
      </c>
      <c r="G77" t="str">
        <f>TEXT(Patient_Visits[[#This Row],[Visit_Date (Updated)]],"MM")</f>
        <v>07</v>
      </c>
      <c r="H77" t="str">
        <f>TEXT(Patient_Visits[[#This Row],[Visit_Date (Updated)]],"MMMM")</f>
        <v>July</v>
      </c>
      <c r="I77" t="s">
        <v>83</v>
      </c>
      <c r="J77" t="s">
        <v>25</v>
      </c>
      <c r="K77" t="s">
        <v>78</v>
      </c>
      <c r="L77" t="s">
        <v>27</v>
      </c>
      <c r="M77" t="s">
        <v>309</v>
      </c>
      <c r="N77">
        <v>79</v>
      </c>
      <c r="O77">
        <v>36.9</v>
      </c>
      <c r="P77">
        <v>103.1</v>
      </c>
      <c r="Q77">
        <v>180</v>
      </c>
      <c r="R77">
        <v>31.8</v>
      </c>
      <c r="S77" t="s">
        <v>41</v>
      </c>
      <c r="T77">
        <v>52716</v>
      </c>
      <c r="U77" t="s">
        <v>74</v>
      </c>
      <c r="V77" t="s">
        <v>56</v>
      </c>
    </row>
    <row r="78" spans="1:22" x14ac:dyDescent="0.25">
      <c r="A78" t="s">
        <v>310</v>
      </c>
      <c r="B78" t="s">
        <v>66</v>
      </c>
      <c r="C78">
        <v>63</v>
      </c>
      <c r="D78" t="s">
        <v>21</v>
      </c>
      <c r="E78" t="s">
        <v>60</v>
      </c>
      <c r="F78" t="s">
        <v>311</v>
      </c>
      <c r="G78" t="str">
        <f>TEXT(Patient_Visits[[#This Row],[Visit_Date (Updated)]],"MM")</f>
        <v>06</v>
      </c>
      <c r="H78" t="str">
        <f>TEXT(Patient_Visits[[#This Row],[Visit_Date (Updated)]],"MMMM")</f>
        <v>June</v>
      </c>
      <c r="I78" t="s">
        <v>52</v>
      </c>
      <c r="J78" t="s">
        <v>53</v>
      </c>
      <c r="K78" t="s">
        <v>26</v>
      </c>
      <c r="L78" t="s">
        <v>99</v>
      </c>
      <c r="M78" t="s">
        <v>161</v>
      </c>
      <c r="N78">
        <v>107</v>
      </c>
      <c r="O78">
        <v>37.1</v>
      </c>
      <c r="P78">
        <v>72.400000000000006</v>
      </c>
      <c r="Q78">
        <v>192</v>
      </c>
      <c r="R78">
        <v>19.600000000000001</v>
      </c>
      <c r="S78" t="s">
        <v>73</v>
      </c>
      <c r="T78">
        <v>78912</v>
      </c>
      <c r="U78" t="s">
        <v>30</v>
      </c>
      <c r="V78" t="s">
        <v>56</v>
      </c>
    </row>
    <row r="79" spans="1:22" x14ac:dyDescent="0.25">
      <c r="A79" t="s">
        <v>312</v>
      </c>
      <c r="B79" t="s">
        <v>76</v>
      </c>
      <c r="C79">
        <v>47</v>
      </c>
      <c r="D79" t="s">
        <v>67</v>
      </c>
      <c r="E79" t="s">
        <v>34</v>
      </c>
      <c r="F79" t="s">
        <v>233</v>
      </c>
      <c r="G79" t="str">
        <f>TEXT(Patient_Visits[[#This Row],[Visit_Date (Updated)]],"MM")</f>
        <v>09</v>
      </c>
      <c r="H79" t="str">
        <f>TEXT(Patient_Visits[[#This Row],[Visit_Date (Updated)]],"MMMM")</f>
        <v>September</v>
      </c>
      <c r="I79" t="s">
        <v>77</v>
      </c>
      <c r="J79" t="s">
        <v>53</v>
      </c>
      <c r="K79" t="s">
        <v>93</v>
      </c>
      <c r="L79" t="s">
        <v>99</v>
      </c>
      <c r="M79" t="s">
        <v>313</v>
      </c>
      <c r="N79">
        <v>106</v>
      </c>
      <c r="O79">
        <v>37.1</v>
      </c>
      <c r="P79">
        <v>76.599999999999994</v>
      </c>
      <c r="Q79">
        <v>158</v>
      </c>
      <c r="R79">
        <v>30.7</v>
      </c>
      <c r="S79" t="s">
        <v>41</v>
      </c>
      <c r="T79">
        <v>0</v>
      </c>
      <c r="U79" t="s">
        <v>152</v>
      </c>
      <c r="V79" t="s">
        <v>31</v>
      </c>
    </row>
    <row r="80" spans="1:22" x14ac:dyDescent="0.25">
      <c r="A80" t="s">
        <v>314</v>
      </c>
      <c r="B80" t="s">
        <v>81</v>
      </c>
      <c r="C80">
        <v>10</v>
      </c>
      <c r="D80" t="s">
        <v>21</v>
      </c>
      <c r="E80" t="s">
        <v>34</v>
      </c>
      <c r="F80" t="s">
        <v>315</v>
      </c>
      <c r="G80" t="str">
        <f>TEXT(Patient_Visits[[#This Row],[Visit_Date (Updated)]],"MM")</f>
        <v>07</v>
      </c>
      <c r="H80" t="str">
        <f>TEXT(Patient_Visits[[#This Row],[Visit_Date (Updated)]],"MMMM")</f>
        <v>July</v>
      </c>
      <c r="I80" t="s">
        <v>77</v>
      </c>
      <c r="J80" t="s">
        <v>141</v>
      </c>
      <c r="K80" t="s">
        <v>93</v>
      </c>
      <c r="L80" t="s">
        <v>63</v>
      </c>
      <c r="M80" t="s">
        <v>316</v>
      </c>
      <c r="N80">
        <v>72</v>
      </c>
      <c r="O80">
        <v>36.4</v>
      </c>
      <c r="P80">
        <v>103.8</v>
      </c>
      <c r="Q80">
        <v>165</v>
      </c>
      <c r="R80">
        <v>38.1</v>
      </c>
      <c r="S80" t="s">
        <v>41</v>
      </c>
      <c r="T80">
        <v>119031</v>
      </c>
      <c r="U80" t="s">
        <v>48</v>
      </c>
      <c r="V80" t="s">
        <v>31</v>
      </c>
    </row>
    <row r="81" spans="1:22" x14ac:dyDescent="0.25">
      <c r="A81" t="s">
        <v>317</v>
      </c>
      <c r="B81" t="s">
        <v>87</v>
      </c>
      <c r="C81">
        <v>9</v>
      </c>
      <c r="D81" t="s">
        <v>21</v>
      </c>
      <c r="E81" t="s">
        <v>22</v>
      </c>
      <c r="F81" t="s">
        <v>318</v>
      </c>
      <c r="G81" t="str">
        <f>TEXT(Patient_Visits[[#This Row],[Visit_Date (Updated)]],"MM")</f>
        <v>08</v>
      </c>
      <c r="H81" t="str">
        <f>TEXT(Patient_Visits[[#This Row],[Visit_Date (Updated)]],"MMMM")</f>
        <v>August</v>
      </c>
      <c r="I81" t="s">
        <v>36</v>
      </c>
      <c r="J81" t="s">
        <v>141</v>
      </c>
      <c r="K81" t="s">
        <v>26</v>
      </c>
      <c r="L81" t="s">
        <v>63</v>
      </c>
      <c r="M81" t="s">
        <v>319</v>
      </c>
      <c r="N81">
        <v>69</v>
      </c>
      <c r="O81">
        <v>36.9</v>
      </c>
      <c r="P81">
        <v>91.7</v>
      </c>
      <c r="Q81">
        <v>148</v>
      </c>
      <c r="R81">
        <v>41.9</v>
      </c>
      <c r="S81" t="s">
        <v>41</v>
      </c>
      <c r="T81">
        <v>114790</v>
      </c>
      <c r="U81" t="s">
        <v>48</v>
      </c>
      <c r="V81" t="s">
        <v>31</v>
      </c>
    </row>
    <row r="82" spans="1:22" x14ac:dyDescent="0.25">
      <c r="A82" t="s">
        <v>320</v>
      </c>
      <c r="B82" t="s">
        <v>267</v>
      </c>
      <c r="C82">
        <v>34</v>
      </c>
      <c r="D82" t="s">
        <v>21</v>
      </c>
      <c r="E82" t="s">
        <v>116</v>
      </c>
      <c r="F82" t="s">
        <v>288</v>
      </c>
      <c r="G82" t="str">
        <f>TEXT(Patient_Visits[[#This Row],[Visit_Date (Updated)]],"MM")</f>
        <v>11</v>
      </c>
      <c r="H82" t="str">
        <f>TEXT(Patient_Visits[[#This Row],[Visit_Date (Updated)]],"MMMM")</f>
        <v>November</v>
      </c>
      <c r="I82" t="s">
        <v>24</v>
      </c>
      <c r="J82" t="s">
        <v>70</v>
      </c>
      <c r="K82" t="s">
        <v>78</v>
      </c>
      <c r="L82" t="s">
        <v>63</v>
      </c>
      <c r="M82" t="s">
        <v>321</v>
      </c>
      <c r="N82">
        <v>86</v>
      </c>
      <c r="O82">
        <v>36.799999999999997</v>
      </c>
      <c r="P82">
        <v>68</v>
      </c>
      <c r="Q82">
        <v>188</v>
      </c>
      <c r="R82">
        <v>19.2</v>
      </c>
      <c r="S82" t="s">
        <v>41</v>
      </c>
      <c r="T82">
        <v>35775</v>
      </c>
      <c r="U82" t="s">
        <v>48</v>
      </c>
      <c r="V82" t="s">
        <v>31</v>
      </c>
    </row>
    <row r="83" spans="1:22" x14ac:dyDescent="0.25">
      <c r="A83" t="s">
        <v>323</v>
      </c>
      <c r="B83" t="s">
        <v>95</v>
      </c>
      <c r="C83">
        <v>74</v>
      </c>
      <c r="D83" t="s">
        <v>21</v>
      </c>
      <c r="E83" t="s">
        <v>68</v>
      </c>
      <c r="F83" t="s">
        <v>324</v>
      </c>
      <c r="G83" t="str">
        <f>TEXT(Patient_Visits[[#This Row],[Visit_Date (Updated)]],"MM")</f>
        <v>09</v>
      </c>
      <c r="H83" t="str">
        <f>TEXT(Patient_Visits[[#This Row],[Visit_Date (Updated)]],"MMMM")</f>
        <v>September</v>
      </c>
      <c r="I83" t="s">
        <v>24</v>
      </c>
      <c r="J83" t="s">
        <v>53</v>
      </c>
      <c r="K83" t="s">
        <v>26</v>
      </c>
      <c r="L83" t="s">
        <v>63</v>
      </c>
      <c r="M83" t="s">
        <v>325</v>
      </c>
      <c r="N83">
        <v>73</v>
      </c>
      <c r="O83">
        <v>39.5</v>
      </c>
      <c r="P83">
        <v>52.9</v>
      </c>
      <c r="Q83">
        <v>180</v>
      </c>
      <c r="R83">
        <v>16.3</v>
      </c>
      <c r="S83" t="s">
        <v>29</v>
      </c>
      <c r="T83">
        <v>98565</v>
      </c>
      <c r="U83" t="s">
        <v>74</v>
      </c>
      <c r="V83" t="s">
        <v>31</v>
      </c>
    </row>
    <row r="84" spans="1:22" x14ac:dyDescent="0.25">
      <c r="A84" t="s">
        <v>326</v>
      </c>
      <c r="B84" t="s">
        <v>102</v>
      </c>
      <c r="C84">
        <v>12</v>
      </c>
      <c r="D84" t="s">
        <v>67</v>
      </c>
      <c r="E84" t="s">
        <v>139</v>
      </c>
      <c r="F84" t="s">
        <v>327</v>
      </c>
      <c r="G84" t="str">
        <f>TEXT(Patient_Visits[[#This Row],[Visit_Date (Updated)]],"MM")</f>
        <v>07</v>
      </c>
      <c r="H84" t="str">
        <f>TEXT(Patient_Visits[[#This Row],[Visit_Date (Updated)]],"MMMM")</f>
        <v>July</v>
      </c>
      <c r="I84" t="s">
        <v>83</v>
      </c>
      <c r="J84" t="s">
        <v>25</v>
      </c>
      <c r="K84" t="s">
        <v>38</v>
      </c>
      <c r="L84" t="s">
        <v>27</v>
      </c>
      <c r="M84" t="s">
        <v>328</v>
      </c>
      <c r="N84">
        <v>100</v>
      </c>
      <c r="O84">
        <v>38.4</v>
      </c>
      <c r="P84">
        <v>64.599999999999994</v>
      </c>
      <c r="Q84">
        <v>164</v>
      </c>
      <c r="R84">
        <v>24</v>
      </c>
      <c r="S84" t="s">
        <v>29</v>
      </c>
      <c r="T84">
        <v>32416</v>
      </c>
      <c r="U84" t="s">
        <v>48</v>
      </c>
      <c r="V84" t="s">
        <v>31</v>
      </c>
    </row>
    <row r="85" spans="1:22" x14ac:dyDescent="0.25">
      <c r="A85" t="s">
        <v>329</v>
      </c>
      <c r="B85" t="s">
        <v>106</v>
      </c>
      <c r="C85">
        <v>72</v>
      </c>
      <c r="D85" t="s">
        <v>21</v>
      </c>
      <c r="E85" t="s">
        <v>22</v>
      </c>
      <c r="F85" t="s">
        <v>330</v>
      </c>
      <c r="G85" t="str">
        <f>TEXT(Patient_Visits[[#This Row],[Visit_Date (Updated)]],"MM")</f>
        <v>08</v>
      </c>
      <c r="H85" t="str">
        <f>TEXT(Patient_Visits[[#This Row],[Visit_Date (Updated)]],"MMMM")</f>
        <v>August</v>
      </c>
      <c r="I85" t="s">
        <v>77</v>
      </c>
      <c r="J85" t="s">
        <v>141</v>
      </c>
      <c r="K85" t="s">
        <v>84</v>
      </c>
      <c r="L85" t="s">
        <v>27</v>
      </c>
      <c r="M85" t="s">
        <v>331</v>
      </c>
      <c r="N85">
        <v>101</v>
      </c>
      <c r="O85">
        <v>38</v>
      </c>
      <c r="P85">
        <v>55.8</v>
      </c>
      <c r="Q85">
        <v>157</v>
      </c>
      <c r="R85">
        <v>22.6</v>
      </c>
      <c r="S85" t="s">
        <v>73</v>
      </c>
      <c r="T85">
        <v>90298</v>
      </c>
      <c r="U85" t="s">
        <v>74</v>
      </c>
      <c r="V85" t="s">
        <v>31</v>
      </c>
    </row>
    <row r="86" spans="1:22" x14ac:dyDescent="0.25">
      <c r="A86" t="s">
        <v>332</v>
      </c>
      <c r="B86" t="s">
        <v>111</v>
      </c>
      <c r="C86">
        <v>64</v>
      </c>
      <c r="D86" t="s">
        <v>67</v>
      </c>
      <c r="E86" t="s">
        <v>116</v>
      </c>
      <c r="F86" t="s">
        <v>333</v>
      </c>
      <c r="G86" t="str">
        <f>TEXT(Patient_Visits[[#This Row],[Visit_Date (Updated)]],"MM")</f>
        <v>08</v>
      </c>
      <c r="H86" t="str">
        <f>TEXT(Patient_Visits[[#This Row],[Visit_Date (Updated)]],"MMMM")</f>
        <v>August</v>
      </c>
      <c r="I86" t="s">
        <v>98</v>
      </c>
      <c r="J86" t="s">
        <v>141</v>
      </c>
      <c r="K86" t="s">
        <v>93</v>
      </c>
      <c r="L86" t="s">
        <v>39</v>
      </c>
      <c r="M86" t="s">
        <v>334</v>
      </c>
      <c r="N86">
        <v>103</v>
      </c>
      <c r="O86">
        <v>36.700000000000003</v>
      </c>
      <c r="P86">
        <v>40.200000000000003</v>
      </c>
      <c r="Q86">
        <v>165</v>
      </c>
      <c r="R86">
        <v>14.8</v>
      </c>
      <c r="S86" t="s">
        <v>73</v>
      </c>
      <c r="T86">
        <v>35108</v>
      </c>
      <c r="U86" t="s">
        <v>74</v>
      </c>
      <c r="V86" t="s">
        <v>31</v>
      </c>
    </row>
    <row r="87" spans="1:22" x14ac:dyDescent="0.25">
      <c r="A87" t="s">
        <v>335</v>
      </c>
      <c r="B87" t="s">
        <v>172</v>
      </c>
      <c r="C87">
        <v>46</v>
      </c>
      <c r="D87" t="s">
        <v>67</v>
      </c>
      <c r="E87" t="s">
        <v>68</v>
      </c>
      <c r="F87" t="s">
        <v>336</v>
      </c>
      <c r="G87" t="str">
        <f>TEXT(Patient_Visits[[#This Row],[Visit_Date (Updated)]],"MM")</f>
        <v>08</v>
      </c>
      <c r="H87" t="str">
        <f>TEXT(Patient_Visits[[#This Row],[Visit_Date (Updated)]],"MMMM")</f>
        <v>August</v>
      </c>
      <c r="I87" t="s">
        <v>52</v>
      </c>
      <c r="J87" t="s">
        <v>25</v>
      </c>
      <c r="K87" t="s">
        <v>71</v>
      </c>
      <c r="L87" t="s">
        <v>99</v>
      </c>
      <c r="M87" t="s">
        <v>337</v>
      </c>
      <c r="N87">
        <v>63</v>
      </c>
      <c r="O87">
        <v>36.299999999999997</v>
      </c>
      <c r="P87">
        <v>79.5</v>
      </c>
      <c r="Q87">
        <v>168</v>
      </c>
      <c r="R87">
        <v>28.2</v>
      </c>
      <c r="S87" t="s">
        <v>41</v>
      </c>
      <c r="T87">
        <v>72553</v>
      </c>
      <c r="U87" t="s">
        <v>48</v>
      </c>
      <c r="V87" t="s">
        <v>56</v>
      </c>
    </row>
    <row r="88" spans="1:22" x14ac:dyDescent="0.25">
      <c r="A88" t="s">
        <v>338</v>
      </c>
      <c r="B88" t="s">
        <v>176</v>
      </c>
      <c r="C88">
        <v>6</v>
      </c>
      <c r="D88" t="s">
        <v>21</v>
      </c>
      <c r="E88" t="s">
        <v>96</v>
      </c>
      <c r="F88" t="s">
        <v>339</v>
      </c>
      <c r="G88" t="str">
        <f>TEXT(Patient_Visits[[#This Row],[Visit_Date (Updated)]],"MM")</f>
        <v>12</v>
      </c>
      <c r="H88" t="str">
        <f>TEXT(Patient_Visits[[#This Row],[Visit_Date (Updated)]],"MMMM")</f>
        <v>December</v>
      </c>
      <c r="I88" t="s">
        <v>98</v>
      </c>
      <c r="J88" t="s">
        <v>53</v>
      </c>
      <c r="K88" t="s">
        <v>62</v>
      </c>
      <c r="L88" t="s">
        <v>27</v>
      </c>
      <c r="M88" t="s">
        <v>340</v>
      </c>
      <c r="N88">
        <v>71</v>
      </c>
      <c r="O88">
        <v>38.700000000000003</v>
      </c>
      <c r="P88">
        <v>64.3</v>
      </c>
      <c r="Q88">
        <v>157</v>
      </c>
      <c r="R88">
        <v>26.1</v>
      </c>
      <c r="S88" t="s">
        <v>41</v>
      </c>
      <c r="T88">
        <v>55754</v>
      </c>
      <c r="U88" t="s">
        <v>74</v>
      </c>
      <c r="V88" t="s">
        <v>56</v>
      </c>
    </row>
    <row r="89" spans="1:22" x14ac:dyDescent="0.25">
      <c r="A89" t="s">
        <v>341</v>
      </c>
      <c r="B89" t="s">
        <v>115</v>
      </c>
      <c r="C89">
        <v>16</v>
      </c>
      <c r="D89" t="s">
        <v>67</v>
      </c>
      <c r="E89" t="s">
        <v>34</v>
      </c>
      <c r="F89" t="s">
        <v>342</v>
      </c>
      <c r="G89" t="str">
        <f>TEXT(Patient_Visits[[#This Row],[Visit_Date (Updated)]],"MM")</f>
        <v>09</v>
      </c>
      <c r="H89" t="str">
        <f>TEXT(Patient_Visits[[#This Row],[Visit_Date (Updated)]],"MMMM")</f>
        <v>September</v>
      </c>
      <c r="I89" t="s">
        <v>36</v>
      </c>
      <c r="J89" t="s">
        <v>141</v>
      </c>
      <c r="K89" t="s">
        <v>118</v>
      </c>
      <c r="L89" t="s">
        <v>27</v>
      </c>
      <c r="M89" t="s">
        <v>343</v>
      </c>
      <c r="N89">
        <v>95</v>
      </c>
      <c r="O89">
        <v>36.4</v>
      </c>
      <c r="P89">
        <v>69.3</v>
      </c>
      <c r="Q89">
        <v>156</v>
      </c>
      <c r="R89">
        <v>28.5</v>
      </c>
      <c r="S89" t="s">
        <v>55</v>
      </c>
      <c r="T89">
        <v>67628</v>
      </c>
      <c r="U89" t="s">
        <v>74</v>
      </c>
      <c r="V89" t="s">
        <v>56</v>
      </c>
    </row>
    <row r="90" spans="1:22" x14ac:dyDescent="0.25">
      <c r="A90" t="s">
        <v>344</v>
      </c>
      <c r="B90" t="s">
        <v>121</v>
      </c>
      <c r="C90">
        <v>66</v>
      </c>
      <c r="D90" t="s">
        <v>67</v>
      </c>
      <c r="E90" t="s">
        <v>116</v>
      </c>
      <c r="F90" t="s">
        <v>201</v>
      </c>
      <c r="G90" t="str">
        <f>TEXT(Patient_Visits[[#This Row],[Visit_Date (Updated)]],"MM")</f>
        <v>12</v>
      </c>
      <c r="H90" t="str">
        <f>TEXT(Patient_Visits[[#This Row],[Visit_Date (Updated)]],"MMMM")</f>
        <v>December</v>
      </c>
      <c r="I90" t="s">
        <v>83</v>
      </c>
      <c r="J90" t="s">
        <v>141</v>
      </c>
      <c r="K90" t="s">
        <v>89</v>
      </c>
      <c r="L90" t="s">
        <v>99</v>
      </c>
      <c r="M90" t="s">
        <v>345</v>
      </c>
      <c r="N90">
        <v>70</v>
      </c>
      <c r="O90">
        <v>38.9</v>
      </c>
      <c r="P90">
        <v>72.8</v>
      </c>
      <c r="Q90">
        <v>184</v>
      </c>
      <c r="R90">
        <v>21.5</v>
      </c>
      <c r="S90" t="s">
        <v>55</v>
      </c>
      <c r="T90">
        <v>90202</v>
      </c>
      <c r="U90" t="s">
        <v>48</v>
      </c>
      <c r="V90" t="s">
        <v>31</v>
      </c>
    </row>
    <row r="91" spans="1:22" x14ac:dyDescent="0.25">
      <c r="A91" t="s">
        <v>346</v>
      </c>
      <c r="B91" t="s">
        <v>125</v>
      </c>
      <c r="C91">
        <v>52</v>
      </c>
      <c r="D91" t="s">
        <v>67</v>
      </c>
      <c r="E91" t="s">
        <v>96</v>
      </c>
      <c r="F91" t="s">
        <v>347</v>
      </c>
      <c r="G91" t="str">
        <f>TEXT(Patient_Visits[[#This Row],[Visit_Date (Updated)]],"MM")</f>
        <v>04</v>
      </c>
      <c r="H91" t="str">
        <f>TEXT(Patient_Visits[[#This Row],[Visit_Date (Updated)]],"MMMM")</f>
        <v>April</v>
      </c>
      <c r="I91" t="s">
        <v>36</v>
      </c>
      <c r="J91" t="s">
        <v>53</v>
      </c>
      <c r="K91" t="s">
        <v>38</v>
      </c>
      <c r="L91" t="s">
        <v>27</v>
      </c>
      <c r="M91" t="s">
        <v>348</v>
      </c>
      <c r="N91">
        <v>66</v>
      </c>
      <c r="O91">
        <v>37.799999999999997</v>
      </c>
      <c r="P91">
        <v>73.900000000000006</v>
      </c>
      <c r="Q91">
        <v>157</v>
      </c>
      <c r="R91">
        <v>30</v>
      </c>
      <c r="S91" t="s">
        <v>29</v>
      </c>
      <c r="T91">
        <v>30965</v>
      </c>
      <c r="U91" t="s">
        <v>74</v>
      </c>
      <c r="V91" t="s">
        <v>31</v>
      </c>
    </row>
    <row r="92" spans="1:22" x14ac:dyDescent="0.25">
      <c r="A92" t="s">
        <v>349</v>
      </c>
      <c r="B92" t="s">
        <v>20</v>
      </c>
      <c r="C92">
        <v>21</v>
      </c>
      <c r="D92" t="s">
        <v>67</v>
      </c>
      <c r="E92" t="s">
        <v>96</v>
      </c>
      <c r="F92" t="s">
        <v>163</v>
      </c>
      <c r="G92" t="str">
        <f>TEXT(Patient_Visits[[#This Row],[Visit_Date (Updated)]],"MM")</f>
        <v>12</v>
      </c>
      <c r="H92" t="str">
        <f>TEXT(Patient_Visits[[#This Row],[Visit_Date (Updated)]],"MMMM")</f>
        <v>December</v>
      </c>
      <c r="I92" t="s">
        <v>98</v>
      </c>
      <c r="J92" t="s">
        <v>53</v>
      </c>
      <c r="K92" t="s">
        <v>89</v>
      </c>
      <c r="L92" t="s">
        <v>99</v>
      </c>
      <c r="M92" t="s">
        <v>350</v>
      </c>
      <c r="N92">
        <v>81</v>
      </c>
      <c r="O92">
        <v>38.277777777777779</v>
      </c>
      <c r="P92">
        <v>97.9</v>
      </c>
      <c r="Q92">
        <v>166</v>
      </c>
      <c r="R92">
        <v>35.5</v>
      </c>
      <c r="S92" t="s">
        <v>73</v>
      </c>
      <c r="T92">
        <v>111492</v>
      </c>
      <c r="U92" t="s">
        <v>48</v>
      </c>
      <c r="V92" t="s">
        <v>31</v>
      </c>
    </row>
    <row r="93" spans="1:22" x14ac:dyDescent="0.25">
      <c r="A93" t="s">
        <v>351</v>
      </c>
      <c r="B93" t="s">
        <v>33</v>
      </c>
      <c r="C93">
        <v>47</v>
      </c>
      <c r="D93" t="s">
        <v>67</v>
      </c>
      <c r="E93" t="s">
        <v>132</v>
      </c>
      <c r="F93" t="s">
        <v>352</v>
      </c>
      <c r="G93" t="str">
        <f>TEXT(Patient_Visits[[#This Row],[Visit_Date (Updated)]],"MM")</f>
        <v>04</v>
      </c>
      <c r="H93" t="str">
        <f>TEXT(Patient_Visits[[#This Row],[Visit_Date (Updated)]],"MMMM")</f>
        <v>April</v>
      </c>
      <c r="I93" t="s">
        <v>36</v>
      </c>
      <c r="J93" t="s">
        <v>70</v>
      </c>
      <c r="K93" t="s">
        <v>45</v>
      </c>
      <c r="L93" t="s">
        <v>63</v>
      </c>
      <c r="M93" t="s">
        <v>353</v>
      </c>
      <c r="N93">
        <v>105</v>
      </c>
      <c r="O93">
        <v>37</v>
      </c>
      <c r="P93">
        <v>81.099999999999994</v>
      </c>
      <c r="Q93">
        <v>188</v>
      </c>
      <c r="R93">
        <v>22.9</v>
      </c>
      <c r="S93" t="s">
        <v>29</v>
      </c>
      <c r="T93">
        <v>105788</v>
      </c>
      <c r="U93" t="s">
        <v>30</v>
      </c>
      <c r="V93" t="s">
        <v>31</v>
      </c>
    </row>
    <row r="94" spans="1:22" x14ac:dyDescent="0.25">
      <c r="A94" t="s">
        <v>354</v>
      </c>
      <c r="B94" t="s">
        <v>43</v>
      </c>
      <c r="C94">
        <v>75</v>
      </c>
      <c r="D94" t="s">
        <v>67</v>
      </c>
      <c r="E94" t="s">
        <v>60</v>
      </c>
      <c r="F94" t="s">
        <v>88</v>
      </c>
      <c r="G94" t="str">
        <f>TEXT(Patient_Visits[[#This Row],[Visit_Date (Updated)]],"MM")</f>
        <v>07</v>
      </c>
      <c r="H94" t="str">
        <f>TEXT(Patient_Visits[[#This Row],[Visit_Date (Updated)]],"MMMM")</f>
        <v>July</v>
      </c>
      <c r="I94" t="s">
        <v>98</v>
      </c>
      <c r="J94" t="s">
        <v>25</v>
      </c>
      <c r="K94" t="s">
        <v>38</v>
      </c>
      <c r="L94" t="s">
        <v>27</v>
      </c>
      <c r="M94" t="s">
        <v>331</v>
      </c>
      <c r="N94">
        <v>98</v>
      </c>
      <c r="O94">
        <v>38.700000000000003</v>
      </c>
      <c r="P94">
        <v>44.2</v>
      </c>
      <c r="Q94">
        <v>180</v>
      </c>
      <c r="R94">
        <v>13.6</v>
      </c>
      <c r="S94" t="s">
        <v>47</v>
      </c>
      <c r="T94">
        <v>83181</v>
      </c>
      <c r="U94" t="s">
        <v>48</v>
      </c>
      <c r="V94" t="s">
        <v>56</v>
      </c>
    </row>
    <row r="95" spans="1:22" x14ac:dyDescent="0.25">
      <c r="A95" t="s">
        <v>355</v>
      </c>
      <c r="B95" t="s">
        <v>50</v>
      </c>
      <c r="C95">
        <v>15</v>
      </c>
      <c r="D95" t="s">
        <v>21</v>
      </c>
      <c r="E95" t="s">
        <v>60</v>
      </c>
      <c r="F95" t="s">
        <v>356</v>
      </c>
      <c r="G95" t="str">
        <f>TEXT(Patient_Visits[[#This Row],[Visit_Date (Updated)]],"MM")</f>
        <v>12</v>
      </c>
      <c r="H95" t="str">
        <f>TEXT(Patient_Visits[[#This Row],[Visit_Date (Updated)]],"MMMM")</f>
        <v>December</v>
      </c>
      <c r="I95" t="s">
        <v>36</v>
      </c>
      <c r="J95" t="s">
        <v>70</v>
      </c>
      <c r="K95" t="s">
        <v>84</v>
      </c>
      <c r="L95" t="s">
        <v>27</v>
      </c>
      <c r="M95" t="s">
        <v>357</v>
      </c>
      <c r="N95">
        <v>86</v>
      </c>
      <c r="O95">
        <v>38.700000000000003</v>
      </c>
      <c r="P95">
        <v>104</v>
      </c>
      <c r="Q95">
        <v>189</v>
      </c>
      <c r="R95">
        <v>29.1</v>
      </c>
      <c r="S95" t="s">
        <v>29</v>
      </c>
      <c r="T95">
        <v>51348</v>
      </c>
      <c r="U95" t="s">
        <v>30</v>
      </c>
      <c r="V95" t="s">
        <v>31</v>
      </c>
    </row>
    <row r="96" spans="1:22" x14ac:dyDescent="0.25">
      <c r="A96" t="s">
        <v>358</v>
      </c>
      <c r="B96" t="s">
        <v>58</v>
      </c>
      <c r="C96">
        <v>38</v>
      </c>
      <c r="D96" t="s">
        <v>59</v>
      </c>
      <c r="E96" t="s">
        <v>116</v>
      </c>
      <c r="F96" t="s">
        <v>133</v>
      </c>
      <c r="G96" t="str">
        <f>TEXT(Patient_Visits[[#This Row],[Visit_Date (Updated)]],"MM")</f>
        <v>08</v>
      </c>
      <c r="H96" t="str">
        <f>TEXT(Patient_Visits[[#This Row],[Visit_Date (Updated)]],"MMMM")</f>
        <v>August</v>
      </c>
      <c r="I96" t="s">
        <v>24</v>
      </c>
      <c r="J96" t="s">
        <v>53</v>
      </c>
      <c r="K96" t="s">
        <v>38</v>
      </c>
      <c r="L96" t="s">
        <v>39</v>
      </c>
      <c r="M96" t="s">
        <v>359</v>
      </c>
      <c r="N96">
        <v>96</v>
      </c>
      <c r="O96">
        <v>37.799999999999997</v>
      </c>
      <c r="P96">
        <v>97.7</v>
      </c>
      <c r="Q96">
        <v>174</v>
      </c>
      <c r="R96">
        <v>32.299999999999997</v>
      </c>
      <c r="S96" t="s">
        <v>47</v>
      </c>
      <c r="T96">
        <v>94188</v>
      </c>
      <c r="U96" t="s">
        <v>48</v>
      </c>
      <c r="V96" t="s">
        <v>31</v>
      </c>
    </row>
    <row r="97" spans="1:22" x14ac:dyDescent="0.25">
      <c r="A97" t="s">
        <v>360</v>
      </c>
      <c r="B97" t="s">
        <v>66</v>
      </c>
      <c r="C97">
        <v>13</v>
      </c>
      <c r="D97" t="s">
        <v>21</v>
      </c>
      <c r="E97" t="s">
        <v>22</v>
      </c>
      <c r="F97" t="s">
        <v>361</v>
      </c>
      <c r="G97" t="str">
        <f>TEXT(Patient_Visits[[#This Row],[Visit_Date (Updated)]],"MM")</f>
        <v>11</v>
      </c>
      <c r="H97" t="str">
        <f>TEXT(Patient_Visits[[#This Row],[Visit_Date (Updated)]],"MMMM")</f>
        <v>November</v>
      </c>
      <c r="I97" t="s">
        <v>52</v>
      </c>
      <c r="J97" t="s">
        <v>141</v>
      </c>
      <c r="K97" t="s">
        <v>89</v>
      </c>
      <c r="L97" t="s">
        <v>39</v>
      </c>
      <c r="M97" t="s">
        <v>362</v>
      </c>
      <c r="N97">
        <v>65</v>
      </c>
      <c r="O97">
        <v>38.299999999999997</v>
      </c>
      <c r="P97">
        <v>54.9</v>
      </c>
      <c r="Q97">
        <v>157</v>
      </c>
      <c r="R97">
        <v>22.3</v>
      </c>
      <c r="S97" t="s">
        <v>29</v>
      </c>
      <c r="T97">
        <v>58967</v>
      </c>
      <c r="U97" t="s">
        <v>30</v>
      </c>
      <c r="V97" t="s">
        <v>56</v>
      </c>
    </row>
    <row r="98" spans="1:22" x14ac:dyDescent="0.25">
      <c r="A98" t="s">
        <v>363</v>
      </c>
      <c r="B98" t="s">
        <v>76</v>
      </c>
      <c r="C98">
        <v>20</v>
      </c>
      <c r="D98" t="s">
        <v>21</v>
      </c>
      <c r="E98" t="s">
        <v>34</v>
      </c>
      <c r="F98" t="s">
        <v>364</v>
      </c>
      <c r="G98" t="str">
        <f>TEXT(Patient_Visits[[#This Row],[Visit_Date (Updated)]],"MM")</f>
        <v>03</v>
      </c>
      <c r="H98" t="str">
        <f>TEXT(Patient_Visits[[#This Row],[Visit_Date (Updated)]],"MMMM")</f>
        <v>March</v>
      </c>
      <c r="I98" t="s">
        <v>77</v>
      </c>
      <c r="J98" t="s">
        <v>70</v>
      </c>
      <c r="K98" t="s">
        <v>38</v>
      </c>
      <c r="L98" t="s">
        <v>63</v>
      </c>
      <c r="M98" t="s">
        <v>365</v>
      </c>
      <c r="N98">
        <v>106</v>
      </c>
      <c r="O98">
        <v>38.6</v>
      </c>
      <c r="P98">
        <v>104.6</v>
      </c>
      <c r="Q98">
        <v>171</v>
      </c>
      <c r="R98">
        <v>35.799999999999997</v>
      </c>
      <c r="S98" t="s">
        <v>41</v>
      </c>
      <c r="T98">
        <v>0</v>
      </c>
      <c r="U98" t="s">
        <v>152</v>
      </c>
      <c r="V98" t="s">
        <v>31</v>
      </c>
    </row>
    <row r="99" spans="1:22" x14ac:dyDescent="0.25">
      <c r="A99" t="s">
        <v>366</v>
      </c>
      <c r="B99" t="s">
        <v>81</v>
      </c>
      <c r="C99">
        <v>68</v>
      </c>
      <c r="D99" t="s">
        <v>67</v>
      </c>
      <c r="E99" t="s">
        <v>139</v>
      </c>
      <c r="F99" t="s">
        <v>183</v>
      </c>
      <c r="G99" t="str">
        <f>TEXT(Patient_Visits[[#This Row],[Visit_Date (Updated)]],"MM")</f>
        <v>01</v>
      </c>
      <c r="H99" t="str">
        <f>TEXT(Patient_Visits[[#This Row],[Visit_Date (Updated)]],"MMMM")</f>
        <v>January</v>
      </c>
      <c r="I99" t="s">
        <v>36</v>
      </c>
      <c r="J99" t="s">
        <v>25</v>
      </c>
      <c r="K99" t="s">
        <v>38</v>
      </c>
      <c r="L99" t="s">
        <v>27</v>
      </c>
      <c r="M99" t="s">
        <v>367</v>
      </c>
      <c r="N99">
        <v>84</v>
      </c>
      <c r="O99">
        <v>37.1</v>
      </c>
      <c r="P99">
        <v>91.1</v>
      </c>
      <c r="Q99">
        <v>158</v>
      </c>
      <c r="R99">
        <v>36.5</v>
      </c>
      <c r="S99" t="s">
        <v>55</v>
      </c>
      <c r="T99">
        <v>82816</v>
      </c>
      <c r="U99" t="s">
        <v>30</v>
      </c>
      <c r="V99" t="s">
        <v>31</v>
      </c>
    </row>
    <row r="100" spans="1:22" x14ac:dyDescent="0.25">
      <c r="A100" t="s">
        <v>368</v>
      </c>
      <c r="B100" t="s">
        <v>87</v>
      </c>
      <c r="C100">
        <v>52</v>
      </c>
      <c r="D100" t="s">
        <v>67</v>
      </c>
      <c r="E100" t="s">
        <v>68</v>
      </c>
      <c r="F100" t="s">
        <v>369</v>
      </c>
      <c r="G100" t="str">
        <f>TEXT(Patient_Visits[[#This Row],[Visit_Date (Updated)]],"MM")</f>
        <v>12</v>
      </c>
      <c r="H100" t="str">
        <f>TEXT(Patient_Visits[[#This Row],[Visit_Date (Updated)]],"MMMM")</f>
        <v>December</v>
      </c>
      <c r="I100" t="s">
        <v>77</v>
      </c>
      <c r="J100" t="s">
        <v>141</v>
      </c>
      <c r="K100" t="s">
        <v>45</v>
      </c>
      <c r="L100" t="s">
        <v>63</v>
      </c>
      <c r="M100" t="s">
        <v>370</v>
      </c>
      <c r="N100">
        <v>90</v>
      </c>
      <c r="O100">
        <v>37.4</v>
      </c>
      <c r="P100">
        <v>95</v>
      </c>
      <c r="Q100">
        <v>165</v>
      </c>
      <c r="R100">
        <v>34.9</v>
      </c>
      <c r="S100" t="s">
        <v>47</v>
      </c>
      <c r="T100">
        <v>46763</v>
      </c>
      <c r="U100" t="s">
        <v>48</v>
      </c>
      <c r="V100" t="s">
        <v>31</v>
      </c>
    </row>
    <row r="101" spans="1:22" x14ac:dyDescent="0.25">
      <c r="A101" t="s">
        <v>371</v>
      </c>
      <c r="B101" t="s">
        <v>267</v>
      </c>
      <c r="C101">
        <v>12</v>
      </c>
      <c r="D101" t="s">
        <v>67</v>
      </c>
      <c r="E101" t="s">
        <v>60</v>
      </c>
      <c r="F101" t="s">
        <v>372</v>
      </c>
      <c r="G101" t="str">
        <f>TEXT(Patient_Visits[[#This Row],[Visit_Date (Updated)]],"MM")</f>
        <v>03</v>
      </c>
      <c r="H101" t="str">
        <f>TEXT(Patient_Visits[[#This Row],[Visit_Date (Updated)]],"MMMM")</f>
        <v>March</v>
      </c>
      <c r="I101" t="s">
        <v>52</v>
      </c>
      <c r="J101" t="s">
        <v>53</v>
      </c>
      <c r="K101" t="s">
        <v>62</v>
      </c>
      <c r="L101" t="s">
        <v>39</v>
      </c>
      <c r="M101" t="s">
        <v>373</v>
      </c>
      <c r="N101">
        <v>84</v>
      </c>
      <c r="O101">
        <v>38.4</v>
      </c>
      <c r="P101">
        <v>82.1</v>
      </c>
      <c r="Q101">
        <v>162</v>
      </c>
      <c r="R101">
        <v>31.3</v>
      </c>
      <c r="S101" t="s">
        <v>55</v>
      </c>
      <c r="T101">
        <v>40133</v>
      </c>
      <c r="U101" t="s">
        <v>74</v>
      </c>
      <c r="V101" t="s">
        <v>56</v>
      </c>
    </row>
    <row r="102" spans="1:22" x14ac:dyDescent="0.25">
      <c r="A102" t="s">
        <v>374</v>
      </c>
      <c r="B102" t="s">
        <v>92</v>
      </c>
      <c r="C102">
        <v>46</v>
      </c>
      <c r="D102" t="s">
        <v>67</v>
      </c>
      <c r="E102" t="s">
        <v>139</v>
      </c>
      <c r="F102" t="s">
        <v>375</v>
      </c>
      <c r="G102" t="str">
        <f>TEXT(Patient_Visits[[#This Row],[Visit_Date (Updated)]],"MM")</f>
        <v>08</v>
      </c>
      <c r="H102" t="str">
        <f>TEXT(Patient_Visits[[#This Row],[Visit_Date (Updated)]],"MMMM")</f>
        <v>August</v>
      </c>
      <c r="I102" t="s">
        <v>77</v>
      </c>
      <c r="J102" t="s">
        <v>37</v>
      </c>
      <c r="K102" t="s">
        <v>38</v>
      </c>
      <c r="L102" t="s">
        <v>63</v>
      </c>
      <c r="M102" t="s">
        <v>376</v>
      </c>
      <c r="N102">
        <v>77</v>
      </c>
      <c r="O102">
        <v>39.4</v>
      </c>
      <c r="P102">
        <v>95.8</v>
      </c>
      <c r="Q102">
        <v>183</v>
      </c>
      <c r="R102">
        <v>28.6</v>
      </c>
      <c r="S102" t="s">
        <v>55</v>
      </c>
      <c r="T102">
        <v>48462</v>
      </c>
      <c r="U102" t="s">
        <v>74</v>
      </c>
      <c r="V102" t="s">
        <v>56</v>
      </c>
    </row>
    <row r="103" spans="1:22" x14ac:dyDescent="0.25">
      <c r="A103" t="s">
        <v>377</v>
      </c>
      <c r="B103" t="s">
        <v>95</v>
      </c>
      <c r="C103">
        <v>74</v>
      </c>
      <c r="D103" t="s">
        <v>67</v>
      </c>
      <c r="E103" t="s">
        <v>22</v>
      </c>
      <c r="F103" t="s">
        <v>378</v>
      </c>
      <c r="G103" t="str">
        <f>TEXT(Patient_Visits[[#This Row],[Visit_Date (Updated)]],"MM")</f>
        <v>04</v>
      </c>
      <c r="H103" t="str">
        <f>TEXT(Patient_Visits[[#This Row],[Visit_Date (Updated)]],"MMMM")</f>
        <v>April</v>
      </c>
      <c r="I103" t="s">
        <v>36</v>
      </c>
      <c r="J103" t="s">
        <v>141</v>
      </c>
      <c r="K103" t="s">
        <v>93</v>
      </c>
      <c r="L103" t="s">
        <v>27</v>
      </c>
      <c r="M103" t="s">
        <v>113</v>
      </c>
      <c r="N103">
        <v>105</v>
      </c>
      <c r="O103">
        <v>36.700000000000003</v>
      </c>
      <c r="P103">
        <v>57.8</v>
      </c>
      <c r="Q103">
        <v>148</v>
      </c>
      <c r="R103">
        <v>26.4</v>
      </c>
      <c r="S103" t="s">
        <v>55</v>
      </c>
      <c r="T103">
        <v>63256</v>
      </c>
      <c r="U103" t="s">
        <v>74</v>
      </c>
      <c r="V103" t="s">
        <v>56</v>
      </c>
    </row>
    <row r="104" spans="1:22" x14ac:dyDescent="0.25">
      <c r="A104" t="s">
        <v>379</v>
      </c>
      <c r="B104" t="s">
        <v>102</v>
      </c>
      <c r="C104">
        <v>73</v>
      </c>
      <c r="D104" t="s">
        <v>67</v>
      </c>
      <c r="E104" t="s">
        <v>96</v>
      </c>
      <c r="F104" t="s">
        <v>380</v>
      </c>
      <c r="G104" t="str">
        <f>TEXT(Patient_Visits[[#This Row],[Visit_Date (Updated)]],"MM")</f>
        <v>04</v>
      </c>
      <c r="H104" t="str">
        <f>TEXT(Patient_Visits[[#This Row],[Visit_Date (Updated)]],"MMMM")</f>
        <v>April</v>
      </c>
      <c r="I104" t="s">
        <v>83</v>
      </c>
      <c r="J104" t="s">
        <v>37</v>
      </c>
      <c r="K104" t="s">
        <v>26</v>
      </c>
      <c r="L104" t="s">
        <v>63</v>
      </c>
      <c r="M104" t="s">
        <v>381</v>
      </c>
      <c r="N104">
        <v>90</v>
      </c>
      <c r="O104">
        <v>37.799999999999997</v>
      </c>
      <c r="P104">
        <v>54.1</v>
      </c>
      <c r="Q104">
        <v>161</v>
      </c>
      <c r="R104">
        <v>20.9</v>
      </c>
      <c r="S104" t="s">
        <v>41</v>
      </c>
      <c r="T104">
        <v>15083</v>
      </c>
      <c r="U104" t="s">
        <v>30</v>
      </c>
      <c r="V104" t="s">
        <v>31</v>
      </c>
    </row>
    <row r="105" spans="1:22" x14ac:dyDescent="0.25">
      <c r="A105" t="s">
        <v>382</v>
      </c>
      <c r="B105" t="s">
        <v>106</v>
      </c>
      <c r="C105">
        <v>51</v>
      </c>
      <c r="D105" t="s">
        <v>67</v>
      </c>
      <c r="E105" t="s">
        <v>22</v>
      </c>
      <c r="F105" t="s">
        <v>383</v>
      </c>
      <c r="G105" t="str">
        <f>TEXT(Patient_Visits[[#This Row],[Visit_Date (Updated)]],"MM")</f>
        <v>09</v>
      </c>
      <c r="H105" t="str">
        <f>TEXT(Patient_Visits[[#This Row],[Visit_Date (Updated)]],"MMMM")</f>
        <v>September</v>
      </c>
      <c r="I105" t="s">
        <v>77</v>
      </c>
      <c r="J105" t="s">
        <v>141</v>
      </c>
      <c r="K105" t="s">
        <v>38</v>
      </c>
      <c r="L105" t="s">
        <v>39</v>
      </c>
      <c r="M105" t="s">
        <v>384</v>
      </c>
      <c r="N105">
        <v>83</v>
      </c>
      <c r="O105">
        <v>38.200000000000003</v>
      </c>
      <c r="P105">
        <v>95.1</v>
      </c>
      <c r="Q105">
        <v>157</v>
      </c>
      <c r="R105">
        <v>38.6</v>
      </c>
      <c r="S105" t="s">
        <v>73</v>
      </c>
      <c r="T105">
        <v>81277</v>
      </c>
      <c r="U105" t="s">
        <v>30</v>
      </c>
      <c r="V105" t="s">
        <v>31</v>
      </c>
    </row>
    <row r="106" spans="1:22" x14ac:dyDescent="0.25">
      <c r="A106" t="s">
        <v>385</v>
      </c>
      <c r="B106" t="s">
        <v>111</v>
      </c>
      <c r="C106">
        <v>40</v>
      </c>
      <c r="D106" t="s">
        <v>21</v>
      </c>
      <c r="E106" t="s">
        <v>96</v>
      </c>
      <c r="F106" t="s">
        <v>386</v>
      </c>
      <c r="G106" t="str">
        <f>TEXT(Patient_Visits[[#This Row],[Visit_Date (Updated)]],"MM")</f>
        <v>01</v>
      </c>
      <c r="H106" t="str">
        <f>TEXT(Patient_Visits[[#This Row],[Visit_Date (Updated)]],"MMMM")</f>
        <v>January</v>
      </c>
      <c r="I106" t="s">
        <v>77</v>
      </c>
      <c r="J106" t="s">
        <v>37</v>
      </c>
      <c r="K106" t="s">
        <v>89</v>
      </c>
      <c r="L106" t="s">
        <v>99</v>
      </c>
      <c r="M106" t="s">
        <v>387</v>
      </c>
      <c r="N106">
        <v>87</v>
      </c>
      <c r="O106">
        <v>36.299999999999997</v>
      </c>
      <c r="P106">
        <v>71.3</v>
      </c>
      <c r="Q106">
        <v>185</v>
      </c>
      <c r="R106">
        <v>20.8</v>
      </c>
      <c r="S106" t="s">
        <v>47</v>
      </c>
      <c r="T106">
        <v>20157</v>
      </c>
      <c r="U106" t="s">
        <v>48</v>
      </c>
      <c r="V106" t="s">
        <v>56</v>
      </c>
    </row>
    <row r="107" spans="1:22" x14ac:dyDescent="0.25">
      <c r="A107" t="s">
        <v>388</v>
      </c>
      <c r="B107" t="s">
        <v>172</v>
      </c>
      <c r="C107">
        <v>48</v>
      </c>
      <c r="D107" t="s">
        <v>21</v>
      </c>
      <c r="E107" t="s">
        <v>116</v>
      </c>
      <c r="F107" t="s">
        <v>389</v>
      </c>
      <c r="G107" t="str">
        <f>TEXT(Patient_Visits[[#This Row],[Visit_Date (Updated)]],"MM")</f>
        <v>07</v>
      </c>
      <c r="H107" t="str">
        <f>TEXT(Patient_Visits[[#This Row],[Visit_Date (Updated)]],"MMMM")</f>
        <v>July</v>
      </c>
      <c r="I107" t="s">
        <v>24</v>
      </c>
      <c r="J107" t="s">
        <v>25</v>
      </c>
      <c r="K107" t="s">
        <v>38</v>
      </c>
      <c r="L107" t="s">
        <v>27</v>
      </c>
      <c r="M107" t="s">
        <v>390</v>
      </c>
      <c r="N107">
        <v>91</v>
      </c>
      <c r="O107">
        <v>39.299999999999997</v>
      </c>
      <c r="P107">
        <v>103.7</v>
      </c>
      <c r="Q107">
        <v>152</v>
      </c>
      <c r="R107">
        <v>44.9</v>
      </c>
      <c r="S107" t="s">
        <v>47</v>
      </c>
      <c r="T107">
        <v>86865</v>
      </c>
      <c r="U107" t="s">
        <v>48</v>
      </c>
      <c r="V107" t="s">
        <v>56</v>
      </c>
    </row>
    <row r="108" spans="1:22" x14ac:dyDescent="0.25">
      <c r="A108" t="s">
        <v>391</v>
      </c>
      <c r="B108" t="s">
        <v>176</v>
      </c>
      <c r="C108">
        <v>16</v>
      </c>
      <c r="D108" t="s">
        <v>67</v>
      </c>
      <c r="E108" t="s">
        <v>132</v>
      </c>
      <c r="F108" t="s">
        <v>392</v>
      </c>
      <c r="G108" t="str">
        <f>TEXT(Patient_Visits[[#This Row],[Visit_Date (Updated)]],"MM")</f>
        <v>10</v>
      </c>
      <c r="H108" t="str">
        <f>TEXT(Patient_Visits[[#This Row],[Visit_Date (Updated)]],"MMMM")</f>
        <v>October</v>
      </c>
      <c r="I108" t="s">
        <v>77</v>
      </c>
      <c r="J108" t="s">
        <v>25</v>
      </c>
      <c r="K108" t="s">
        <v>26</v>
      </c>
      <c r="L108" t="s">
        <v>39</v>
      </c>
      <c r="M108" t="s">
        <v>393</v>
      </c>
      <c r="N108">
        <v>70</v>
      </c>
      <c r="O108">
        <v>37.299999999999997</v>
      </c>
      <c r="P108">
        <v>56.5</v>
      </c>
      <c r="Q108">
        <v>162</v>
      </c>
      <c r="R108">
        <v>21.5</v>
      </c>
      <c r="S108" t="s">
        <v>41</v>
      </c>
      <c r="T108">
        <v>8063</v>
      </c>
      <c r="U108" t="s">
        <v>48</v>
      </c>
      <c r="V108" t="s">
        <v>31</v>
      </c>
    </row>
    <row r="109" spans="1:22" x14ac:dyDescent="0.25">
      <c r="A109" t="s">
        <v>394</v>
      </c>
      <c r="B109" t="s">
        <v>115</v>
      </c>
      <c r="C109">
        <v>12</v>
      </c>
      <c r="D109" t="s">
        <v>21</v>
      </c>
      <c r="E109" t="s">
        <v>60</v>
      </c>
      <c r="F109" t="s">
        <v>395</v>
      </c>
      <c r="G109" t="str">
        <f>TEXT(Patient_Visits[[#This Row],[Visit_Date (Updated)]],"MM")</f>
        <v>05</v>
      </c>
      <c r="H109" t="str">
        <f>TEXT(Patient_Visits[[#This Row],[Visit_Date (Updated)]],"MMMM")</f>
        <v>May</v>
      </c>
      <c r="I109" t="s">
        <v>52</v>
      </c>
      <c r="J109" t="s">
        <v>70</v>
      </c>
      <c r="K109" t="s">
        <v>38</v>
      </c>
      <c r="L109" t="s">
        <v>27</v>
      </c>
      <c r="M109" t="s">
        <v>396</v>
      </c>
      <c r="N109">
        <v>108</v>
      </c>
      <c r="O109">
        <v>36</v>
      </c>
      <c r="P109">
        <v>53.9</v>
      </c>
      <c r="Q109">
        <v>167</v>
      </c>
      <c r="R109">
        <v>19.3</v>
      </c>
      <c r="S109" t="s">
        <v>47</v>
      </c>
      <c r="T109">
        <v>80524</v>
      </c>
      <c r="U109" t="s">
        <v>48</v>
      </c>
      <c r="V109" t="s">
        <v>56</v>
      </c>
    </row>
    <row r="110" spans="1:22" x14ac:dyDescent="0.25">
      <c r="A110" t="s">
        <v>397</v>
      </c>
      <c r="B110" t="s">
        <v>121</v>
      </c>
      <c r="C110">
        <v>65</v>
      </c>
      <c r="D110" t="s">
        <v>67</v>
      </c>
      <c r="E110" t="s">
        <v>132</v>
      </c>
      <c r="F110" t="s">
        <v>218</v>
      </c>
      <c r="G110" t="str">
        <f>TEXT(Patient_Visits[[#This Row],[Visit_Date (Updated)]],"MM")</f>
        <v>05</v>
      </c>
      <c r="H110" t="str">
        <f>TEXT(Patient_Visits[[#This Row],[Visit_Date (Updated)]],"MMMM")</f>
        <v>May</v>
      </c>
      <c r="I110" t="s">
        <v>83</v>
      </c>
      <c r="J110" t="s">
        <v>25</v>
      </c>
      <c r="K110" t="s">
        <v>71</v>
      </c>
      <c r="L110" t="s">
        <v>39</v>
      </c>
      <c r="M110" t="s">
        <v>398</v>
      </c>
      <c r="N110">
        <v>88</v>
      </c>
      <c r="O110">
        <v>36.799999999999997</v>
      </c>
      <c r="P110">
        <v>50</v>
      </c>
      <c r="Q110">
        <v>191</v>
      </c>
      <c r="R110">
        <v>13.7</v>
      </c>
      <c r="S110" t="s">
        <v>29</v>
      </c>
      <c r="T110">
        <v>64328</v>
      </c>
      <c r="U110" t="s">
        <v>74</v>
      </c>
      <c r="V110" t="s">
        <v>56</v>
      </c>
    </row>
    <row r="111" spans="1:22" x14ac:dyDescent="0.25">
      <c r="A111" t="s">
        <v>399</v>
      </c>
      <c r="B111" t="s">
        <v>125</v>
      </c>
      <c r="C111">
        <v>9</v>
      </c>
      <c r="D111" t="s">
        <v>21</v>
      </c>
      <c r="E111" t="s">
        <v>34</v>
      </c>
      <c r="F111" t="s">
        <v>173</v>
      </c>
      <c r="G111" t="str">
        <f>TEXT(Patient_Visits[[#This Row],[Visit_Date (Updated)]],"MM")</f>
        <v>02</v>
      </c>
      <c r="H111" t="str">
        <f>TEXT(Patient_Visits[[#This Row],[Visit_Date (Updated)]],"MMMM")</f>
        <v>February</v>
      </c>
      <c r="I111" t="s">
        <v>52</v>
      </c>
      <c r="J111" t="s">
        <v>53</v>
      </c>
      <c r="K111" t="s">
        <v>84</v>
      </c>
      <c r="L111" t="s">
        <v>39</v>
      </c>
      <c r="M111" t="s">
        <v>400</v>
      </c>
      <c r="N111">
        <v>61</v>
      </c>
      <c r="O111">
        <v>38.200000000000003</v>
      </c>
      <c r="P111">
        <v>71.7</v>
      </c>
      <c r="Q111">
        <v>169</v>
      </c>
      <c r="R111">
        <v>25.1</v>
      </c>
      <c r="S111" t="s">
        <v>73</v>
      </c>
      <c r="T111">
        <v>110880</v>
      </c>
      <c r="U111" t="s">
        <v>30</v>
      </c>
      <c r="V111" t="s">
        <v>31</v>
      </c>
    </row>
    <row r="112" spans="1:22" x14ac:dyDescent="0.25">
      <c r="A112" t="s">
        <v>401</v>
      </c>
      <c r="B112" t="s">
        <v>20</v>
      </c>
      <c r="C112">
        <v>19</v>
      </c>
      <c r="D112" t="s">
        <v>67</v>
      </c>
      <c r="E112" t="s">
        <v>116</v>
      </c>
      <c r="F112" t="s">
        <v>402</v>
      </c>
      <c r="G112" t="str">
        <f>TEXT(Patient_Visits[[#This Row],[Visit_Date (Updated)]],"MM")</f>
        <v>06</v>
      </c>
      <c r="H112" t="str">
        <f>TEXT(Patient_Visits[[#This Row],[Visit_Date (Updated)]],"MMMM")</f>
        <v>June</v>
      </c>
      <c r="I112" t="s">
        <v>77</v>
      </c>
      <c r="J112" t="s">
        <v>25</v>
      </c>
      <c r="K112" t="s">
        <v>84</v>
      </c>
      <c r="L112" t="s">
        <v>39</v>
      </c>
      <c r="M112" t="s">
        <v>403</v>
      </c>
      <c r="N112">
        <v>88</v>
      </c>
      <c r="O112">
        <v>39</v>
      </c>
      <c r="P112">
        <v>58.6</v>
      </c>
      <c r="Q112">
        <v>174</v>
      </c>
      <c r="R112">
        <v>19.399999999999999</v>
      </c>
      <c r="S112" t="s">
        <v>41</v>
      </c>
      <c r="T112">
        <v>23406</v>
      </c>
      <c r="U112" t="s">
        <v>30</v>
      </c>
      <c r="V112" t="s">
        <v>31</v>
      </c>
    </row>
    <row r="113" spans="1:22" x14ac:dyDescent="0.25">
      <c r="A113" t="s">
        <v>404</v>
      </c>
      <c r="B113" t="s">
        <v>33</v>
      </c>
      <c r="C113">
        <v>42</v>
      </c>
      <c r="D113" t="s">
        <v>67</v>
      </c>
      <c r="E113" t="s">
        <v>116</v>
      </c>
      <c r="F113" t="s">
        <v>405</v>
      </c>
      <c r="G113" t="str">
        <f>TEXT(Patient_Visits[[#This Row],[Visit_Date (Updated)]],"MM")</f>
        <v>05</v>
      </c>
      <c r="H113" t="str">
        <f>TEXT(Patient_Visits[[#This Row],[Visit_Date (Updated)]],"MMMM")</f>
        <v>May</v>
      </c>
      <c r="I113" t="s">
        <v>83</v>
      </c>
      <c r="J113" t="s">
        <v>25</v>
      </c>
      <c r="K113" t="s">
        <v>71</v>
      </c>
      <c r="L113" t="s">
        <v>39</v>
      </c>
      <c r="M113" t="s">
        <v>406</v>
      </c>
      <c r="N113">
        <v>69</v>
      </c>
      <c r="O113">
        <v>39.4</v>
      </c>
      <c r="P113">
        <v>44</v>
      </c>
      <c r="Q113">
        <v>190</v>
      </c>
      <c r="R113">
        <v>12.2</v>
      </c>
      <c r="S113" t="s">
        <v>41</v>
      </c>
      <c r="T113">
        <v>76392</v>
      </c>
      <c r="U113" t="s">
        <v>48</v>
      </c>
      <c r="V113" t="s">
        <v>31</v>
      </c>
    </row>
    <row r="114" spans="1:22" x14ac:dyDescent="0.25">
      <c r="A114" t="s">
        <v>407</v>
      </c>
      <c r="B114" t="s">
        <v>43</v>
      </c>
      <c r="C114">
        <v>20</v>
      </c>
      <c r="D114" t="s">
        <v>67</v>
      </c>
      <c r="E114" t="s">
        <v>34</v>
      </c>
      <c r="F114" t="s">
        <v>408</v>
      </c>
      <c r="G114" t="str">
        <f>TEXT(Patient_Visits[[#This Row],[Visit_Date (Updated)]],"MM")</f>
        <v>07</v>
      </c>
      <c r="H114" t="str">
        <f>TEXT(Patient_Visits[[#This Row],[Visit_Date (Updated)]],"MMMM")</f>
        <v>July</v>
      </c>
      <c r="I114" t="s">
        <v>83</v>
      </c>
      <c r="J114" t="s">
        <v>53</v>
      </c>
      <c r="K114" t="s">
        <v>108</v>
      </c>
      <c r="L114" t="s">
        <v>99</v>
      </c>
      <c r="M114" t="s">
        <v>400</v>
      </c>
      <c r="N114">
        <v>78</v>
      </c>
      <c r="O114">
        <v>37.5</v>
      </c>
      <c r="P114">
        <v>51.4</v>
      </c>
      <c r="Q114">
        <v>166</v>
      </c>
      <c r="R114">
        <v>18.7</v>
      </c>
      <c r="S114" t="s">
        <v>41</v>
      </c>
      <c r="T114">
        <v>86861</v>
      </c>
      <c r="U114" t="s">
        <v>30</v>
      </c>
      <c r="V114" t="s">
        <v>31</v>
      </c>
    </row>
    <row r="115" spans="1:22" x14ac:dyDescent="0.25">
      <c r="A115" t="s">
        <v>409</v>
      </c>
      <c r="B115" t="s">
        <v>50</v>
      </c>
      <c r="C115">
        <v>69</v>
      </c>
      <c r="D115" t="s">
        <v>67</v>
      </c>
      <c r="E115" t="s">
        <v>116</v>
      </c>
      <c r="F115" t="s">
        <v>410</v>
      </c>
      <c r="G115" t="str">
        <f>TEXT(Patient_Visits[[#This Row],[Visit_Date (Updated)]],"MM")</f>
        <v>08</v>
      </c>
      <c r="H115" t="str">
        <f>TEXT(Patient_Visits[[#This Row],[Visit_Date (Updated)]],"MMMM")</f>
        <v>August</v>
      </c>
      <c r="I115" t="s">
        <v>24</v>
      </c>
      <c r="J115" t="s">
        <v>37</v>
      </c>
      <c r="K115" t="s">
        <v>93</v>
      </c>
      <c r="L115" t="s">
        <v>99</v>
      </c>
      <c r="M115" t="s">
        <v>411</v>
      </c>
      <c r="N115">
        <v>62</v>
      </c>
      <c r="O115">
        <v>39.200000000000003</v>
      </c>
      <c r="P115">
        <v>55.3</v>
      </c>
      <c r="Q115">
        <v>184</v>
      </c>
      <c r="R115">
        <v>16.3</v>
      </c>
      <c r="S115" t="s">
        <v>41</v>
      </c>
      <c r="T115">
        <v>21097</v>
      </c>
      <c r="U115" t="s">
        <v>30</v>
      </c>
      <c r="V115" t="s">
        <v>56</v>
      </c>
    </row>
    <row r="116" spans="1:22" x14ac:dyDescent="0.25">
      <c r="A116" t="s">
        <v>412</v>
      </c>
      <c r="B116" t="s">
        <v>58</v>
      </c>
      <c r="C116">
        <v>27</v>
      </c>
      <c r="D116" t="s">
        <v>59</v>
      </c>
      <c r="E116" t="s">
        <v>96</v>
      </c>
      <c r="F116" t="s">
        <v>413</v>
      </c>
      <c r="G116" t="str">
        <f>TEXT(Patient_Visits[[#This Row],[Visit_Date (Updated)]],"MM")</f>
        <v>02</v>
      </c>
      <c r="H116" t="str">
        <f>TEXT(Patient_Visits[[#This Row],[Visit_Date (Updated)]],"MMMM")</f>
        <v>February</v>
      </c>
      <c r="I116" t="s">
        <v>52</v>
      </c>
      <c r="J116" t="s">
        <v>70</v>
      </c>
      <c r="K116" t="s">
        <v>93</v>
      </c>
      <c r="L116" t="s">
        <v>99</v>
      </c>
      <c r="M116" t="s">
        <v>414</v>
      </c>
      <c r="N116">
        <v>99</v>
      </c>
      <c r="O116">
        <v>38.299999999999997</v>
      </c>
      <c r="P116">
        <v>84</v>
      </c>
      <c r="Q116">
        <v>160</v>
      </c>
      <c r="R116">
        <v>32.799999999999997</v>
      </c>
      <c r="S116" t="s">
        <v>47</v>
      </c>
      <c r="T116">
        <v>43375</v>
      </c>
      <c r="U116" t="s">
        <v>30</v>
      </c>
      <c r="V116" t="s">
        <v>56</v>
      </c>
    </row>
    <row r="117" spans="1:22" x14ac:dyDescent="0.25">
      <c r="A117" t="s">
        <v>415</v>
      </c>
      <c r="B117" t="s">
        <v>66</v>
      </c>
      <c r="C117">
        <v>13</v>
      </c>
      <c r="D117" t="s">
        <v>67</v>
      </c>
      <c r="E117" t="s">
        <v>60</v>
      </c>
      <c r="F117" t="s">
        <v>103</v>
      </c>
      <c r="G117" t="str">
        <f>TEXT(Patient_Visits[[#This Row],[Visit_Date (Updated)]],"MM")</f>
        <v>09</v>
      </c>
      <c r="H117" t="str">
        <f>TEXT(Patient_Visits[[#This Row],[Visit_Date (Updated)]],"MMMM")</f>
        <v>September</v>
      </c>
      <c r="I117" t="s">
        <v>98</v>
      </c>
      <c r="J117" t="s">
        <v>53</v>
      </c>
      <c r="K117" t="s">
        <v>93</v>
      </c>
      <c r="L117" t="s">
        <v>39</v>
      </c>
      <c r="M117" t="s">
        <v>416</v>
      </c>
      <c r="N117">
        <v>86</v>
      </c>
      <c r="O117">
        <v>39.200000000000003</v>
      </c>
      <c r="P117">
        <v>73.400000000000006</v>
      </c>
      <c r="Q117">
        <v>190</v>
      </c>
      <c r="R117">
        <v>20.3</v>
      </c>
      <c r="S117" t="s">
        <v>73</v>
      </c>
      <c r="T117">
        <v>35550</v>
      </c>
      <c r="U117" t="s">
        <v>30</v>
      </c>
      <c r="V117" t="s">
        <v>31</v>
      </c>
    </row>
    <row r="118" spans="1:22" x14ac:dyDescent="0.25">
      <c r="A118" t="s">
        <v>417</v>
      </c>
      <c r="B118" t="s">
        <v>76</v>
      </c>
      <c r="C118">
        <v>9</v>
      </c>
      <c r="D118" t="s">
        <v>21</v>
      </c>
      <c r="E118" t="s">
        <v>132</v>
      </c>
      <c r="F118" t="s">
        <v>418</v>
      </c>
      <c r="G118" t="str">
        <f>TEXT(Patient_Visits[[#This Row],[Visit_Date (Updated)]],"MM")</f>
        <v>10</v>
      </c>
      <c r="H118" t="str">
        <f>TEXT(Patient_Visits[[#This Row],[Visit_Date (Updated)]],"MMMM")</f>
        <v>October</v>
      </c>
      <c r="I118" t="s">
        <v>52</v>
      </c>
      <c r="J118" t="s">
        <v>25</v>
      </c>
      <c r="K118" t="s">
        <v>71</v>
      </c>
      <c r="L118" t="s">
        <v>39</v>
      </c>
      <c r="M118" t="s">
        <v>419</v>
      </c>
      <c r="N118">
        <v>67</v>
      </c>
      <c r="O118">
        <v>37.200000000000003</v>
      </c>
      <c r="P118">
        <v>57.1</v>
      </c>
      <c r="Q118">
        <v>168</v>
      </c>
      <c r="R118">
        <v>20.2</v>
      </c>
      <c r="S118" t="s">
        <v>55</v>
      </c>
      <c r="T118">
        <v>78538</v>
      </c>
      <c r="U118" t="s">
        <v>30</v>
      </c>
      <c r="V118" t="s">
        <v>31</v>
      </c>
    </row>
    <row r="119" spans="1:22" x14ac:dyDescent="0.25">
      <c r="A119" t="s">
        <v>420</v>
      </c>
      <c r="B119" t="s">
        <v>81</v>
      </c>
      <c r="C119">
        <v>18</v>
      </c>
      <c r="D119" t="s">
        <v>67</v>
      </c>
      <c r="E119" t="s">
        <v>68</v>
      </c>
      <c r="F119" t="s">
        <v>324</v>
      </c>
      <c r="G119" t="str">
        <f>TEXT(Patient_Visits[[#This Row],[Visit_Date (Updated)]],"MM")</f>
        <v>09</v>
      </c>
      <c r="H119" t="str">
        <f>TEXT(Patient_Visits[[#This Row],[Visit_Date (Updated)]],"MMMM")</f>
        <v>September</v>
      </c>
      <c r="I119" t="s">
        <v>24</v>
      </c>
      <c r="J119" t="s">
        <v>37</v>
      </c>
      <c r="K119" t="s">
        <v>26</v>
      </c>
      <c r="L119" t="s">
        <v>99</v>
      </c>
      <c r="M119" t="s">
        <v>421</v>
      </c>
      <c r="N119">
        <v>65</v>
      </c>
      <c r="O119">
        <v>36.799999999999997</v>
      </c>
      <c r="P119">
        <v>52.8</v>
      </c>
      <c r="Q119">
        <v>154</v>
      </c>
      <c r="R119">
        <v>22.3</v>
      </c>
      <c r="S119" t="s">
        <v>73</v>
      </c>
      <c r="T119">
        <v>35828</v>
      </c>
      <c r="U119" t="s">
        <v>74</v>
      </c>
      <c r="V119" t="s">
        <v>56</v>
      </c>
    </row>
    <row r="120" spans="1:22" x14ac:dyDescent="0.25">
      <c r="A120" t="s">
        <v>422</v>
      </c>
      <c r="B120" t="s">
        <v>87</v>
      </c>
      <c r="C120">
        <v>7</v>
      </c>
      <c r="D120" t="s">
        <v>21</v>
      </c>
      <c r="E120" t="s">
        <v>34</v>
      </c>
      <c r="F120" t="s">
        <v>405</v>
      </c>
      <c r="G120" t="str">
        <f>TEXT(Patient_Visits[[#This Row],[Visit_Date (Updated)]],"MM")</f>
        <v>05</v>
      </c>
      <c r="H120" t="str">
        <f>TEXT(Patient_Visits[[#This Row],[Visit_Date (Updated)]],"MMMM")</f>
        <v>May</v>
      </c>
      <c r="I120" t="s">
        <v>24</v>
      </c>
      <c r="J120" t="s">
        <v>37</v>
      </c>
      <c r="K120" t="s">
        <v>62</v>
      </c>
      <c r="L120" t="s">
        <v>39</v>
      </c>
      <c r="M120" t="s">
        <v>423</v>
      </c>
      <c r="N120">
        <v>104</v>
      </c>
      <c r="O120">
        <v>37.6</v>
      </c>
      <c r="P120">
        <v>64.5</v>
      </c>
      <c r="Q120">
        <v>154</v>
      </c>
      <c r="R120">
        <v>27.2</v>
      </c>
      <c r="S120" t="s">
        <v>41</v>
      </c>
      <c r="T120">
        <v>8920</v>
      </c>
      <c r="U120" t="s">
        <v>48</v>
      </c>
      <c r="V120" t="s">
        <v>56</v>
      </c>
    </row>
    <row r="121" spans="1:22" x14ac:dyDescent="0.25">
      <c r="A121" t="s">
        <v>424</v>
      </c>
      <c r="B121" t="s">
        <v>267</v>
      </c>
      <c r="C121">
        <v>64</v>
      </c>
      <c r="D121" t="s">
        <v>67</v>
      </c>
      <c r="E121" t="s">
        <v>139</v>
      </c>
      <c r="F121" t="s">
        <v>425</v>
      </c>
      <c r="G121" t="str">
        <f>TEXT(Patient_Visits[[#This Row],[Visit_Date (Updated)]],"MM")</f>
        <v>02</v>
      </c>
      <c r="H121" t="str">
        <f>TEXT(Patient_Visits[[#This Row],[Visit_Date (Updated)]],"MMMM")</f>
        <v>February</v>
      </c>
      <c r="I121" t="s">
        <v>24</v>
      </c>
      <c r="J121" t="s">
        <v>25</v>
      </c>
      <c r="K121" t="s">
        <v>78</v>
      </c>
      <c r="L121" t="s">
        <v>99</v>
      </c>
      <c r="M121" t="s">
        <v>426</v>
      </c>
      <c r="N121">
        <v>74</v>
      </c>
      <c r="O121">
        <v>36.5</v>
      </c>
      <c r="P121">
        <v>80.099999999999994</v>
      </c>
      <c r="Q121">
        <v>173</v>
      </c>
      <c r="R121">
        <v>26.8</v>
      </c>
      <c r="S121" t="s">
        <v>41</v>
      </c>
      <c r="T121">
        <v>111267</v>
      </c>
      <c r="U121" t="s">
        <v>30</v>
      </c>
      <c r="V121" t="s">
        <v>31</v>
      </c>
    </row>
    <row r="122" spans="1:22" x14ac:dyDescent="0.25">
      <c r="A122" t="s">
        <v>427</v>
      </c>
      <c r="B122" t="s">
        <v>92</v>
      </c>
      <c r="C122">
        <v>58</v>
      </c>
      <c r="D122" t="s">
        <v>21</v>
      </c>
      <c r="E122" t="s">
        <v>22</v>
      </c>
      <c r="F122" t="s">
        <v>183</v>
      </c>
      <c r="G122" t="str">
        <f>TEXT(Patient_Visits[[#This Row],[Visit_Date (Updated)]],"MM")</f>
        <v>01</v>
      </c>
      <c r="H122" t="str">
        <f>TEXT(Patient_Visits[[#This Row],[Visit_Date (Updated)]],"MMMM")</f>
        <v>January</v>
      </c>
      <c r="I122" t="s">
        <v>98</v>
      </c>
      <c r="J122" t="s">
        <v>53</v>
      </c>
      <c r="K122" t="s">
        <v>78</v>
      </c>
      <c r="L122" t="s">
        <v>99</v>
      </c>
      <c r="M122" t="s">
        <v>428</v>
      </c>
      <c r="N122">
        <v>96</v>
      </c>
      <c r="O122">
        <v>38.799999999999997</v>
      </c>
      <c r="P122">
        <v>103.9</v>
      </c>
      <c r="Q122">
        <v>173</v>
      </c>
      <c r="R122">
        <v>34.700000000000003</v>
      </c>
      <c r="S122" t="s">
        <v>47</v>
      </c>
      <c r="T122">
        <v>10019</v>
      </c>
      <c r="U122" t="s">
        <v>48</v>
      </c>
      <c r="V122" t="s">
        <v>56</v>
      </c>
    </row>
    <row r="123" spans="1:22" x14ac:dyDescent="0.25">
      <c r="A123" t="s">
        <v>429</v>
      </c>
      <c r="B123" t="s">
        <v>95</v>
      </c>
      <c r="C123">
        <v>50</v>
      </c>
      <c r="D123" t="s">
        <v>21</v>
      </c>
      <c r="E123" t="s">
        <v>22</v>
      </c>
      <c r="F123" t="s">
        <v>430</v>
      </c>
      <c r="G123" t="str">
        <f>TEXT(Patient_Visits[[#This Row],[Visit_Date (Updated)]],"MM")</f>
        <v>12</v>
      </c>
      <c r="H123" t="str">
        <f>TEXT(Patient_Visits[[#This Row],[Visit_Date (Updated)]],"MMMM")</f>
        <v>December</v>
      </c>
      <c r="I123" t="s">
        <v>36</v>
      </c>
      <c r="J123" t="s">
        <v>25</v>
      </c>
      <c r="K123" t="s">
        <v>71</v>
      </c>
      <c r="L123" t="s">
        <v>27</v>
      </c>
      <c r="M123" t="s">
        <v>431</v>
      </c>
      <c r="N123">
        <v>64</v>
      </c>
      <c r="O123">
        <v>37.1</v>
      </c>
      <c r="P123">
        <v>54.1</v>
      </c>
      <c r="Q123">
        <v>190</v>
      </c>
      <c r="R123">
        <v>15</v>
      </c>
      <c r="S123" t="s">
        <v>29</v>
      </c>
      <c r="T123">
        <v>32553</v>
      </c>
      <c r="U123" t="s">
        <v>30</v>
      </c>
      <c r="V123" t="s">
        <v>31</v>
      </c>
    </row>
    <row r="124" spans="1:22" x14ac:dyDescent="0.25">
      <c r="A124" t="s">
        <v>432</v>
      </c>
      <c r="B124" t="s">
        <v>102</v>
      </c>
      <c r="C124">
        <v>55</v>
      </c>
      <c r="D124" t="s">
        <v>67</v>
      </c>
      <c r="E124" t="s">
        <v>60</v>
      </c>
      <c r="F124" t="s">
        <v>433</v>
      </c>
      <c r="G124" t="str">
        <f>TEXT(Patient_Visits[[#This Row],[Visit_Date (Updated)]],"MM")</f>
        <v>01</v>
      </c>
      <c r="H124" t="str">
        <f>TEXT(Patient_Visits[[#This Row],[Visit_Date (Updated)]],"MMMM")</f>
        <v>January</v>
      </c>
      <c r="I124" t="s">
        <v>24</v>
      </c>
      <c r="J124" t="s">
        <v>37</v>
      </c>
      <c r="K124" t="s">
        <v>93</v>
      </c>
      <c r="L124" t="s">
        <v>63</v>
      </c>
      <c r="M124" t="s">
        <v>434</v>
      </c>
      <c r="N124">
        <v>99</v>
      </c>
      <c r="O124">
        <v>36.4</v>
      </c>
      <c r="P124">
        <v>48.5</v>
      </c>
      <c r="Q124">
        <v>148</v>
      </c>
      <c r="R124">
        <v>22.1</v>
      </c>
      <c r="S124" t="s">
        <v>55</v>
      </c>
      <c r="T124">
        <v>34018</v>
      </c>
      <c r="U124" t="s">
        <v>30</v>
      </c>
      <c r="V124" t="s">
        <v>31</v>
      </c>
    </row>
    <row r="125" spans="1:22" x14ac:dyDescent="0.25">
      <c r="A125" t="s">
        <v>435</v>
      </c>
      <c r="B125" t="s">
        <v>106</v>
      </c>
      <c r="C125">
        <v>19</v>
      </c>
      <c r="D125" t="s">
        <v>67</v>
      </c>
      <c r="E125" t="s">
        <v>132</v>
      </c>
      <c r="F125" t="s">
        <v>436</v>
      </c>
      <c r="G125" t="str">
        <f>TEXT(Patient_Visits[[#This Row],[Visit_Date (Updated)]],"MM")</f>
        <v>11</v>
      </c>
      <c r="H125" t="str">
        <f>TEXT(Patient_Visits[[#This Row],[Visit_Date (Updated)]],"MMMM")</f>
        <v>November</v>
      </c>
      <c r="I125" t="s">
        <v>77</v>
      </c>
      <c r="J125" t="s">
        <v>25</v>
      </c>
      <c r="K125" t="s">
        <v>38</v>
      </c>
      <c r="L125" t="s">
        <v>63</v>
      </c>
      <c r="M125" t="s">
        <v>437</v>
      </c>
      <c r="N125">
        <v>97</v>
      </c>
      <c r="O125">
        <v>37.9</v>
      </c>
      <c r="P125">
        <v>50.4</v>
      </c>
      <c r="Q125">
        <v>155</v>
      </c>
      <c r="R125">
        <v>21</v>
      </c>
      <c r="S125" t="s">
        <v>47</v>
      </c>
      <c r="T125">
        <v>20218</v>
      </c>
      <c r="U125" t="s">
        <v>48</v>
      </c>
      <c r="V125" t="s">
        <v>31</v>
      </c>
    </row>
    <row r="126" spans="1:22" x14ac:dyDescent="0.25">
      <c r="A126" t="s">
        <v>438</v>
      </c>
      <c r="B126" t="s">
        <v>111</v>
      </c>
      <c r="C126">
        <v>41</v>
      </c>
      <c r="D126" t="s">
        <v>67</v>
      </c>
      <c r="E126" t="s">
        <v>34</v>
      </c>
      <c r="F126" t="s">
        <v>413</v>
      </c>
      <c r="G126" t="str">
        <f>TEXT(Patient_Visits[[#This Row],[Visit_Date (Updated)]],"MM")</f>
        <v>02</v>
      </c>
      <c r="H126" t="str">
        <f>TEXT(Patient_Visits[[#This Row],[Visit_Date (Updated)]],"MMMM")</f>
        <v>February</v>
      </c>
      <c r="I126" t="s">
        <v>36</v>
      </c>
      <c r="J126" t="s">
        <v>37</v>
      </c>
      <c r="K126" t="s">
        <v>93</v>
      </c>
      <c r="L126" t="s">
        <v>39</v>
      </c>
      <c r="M126" t="s">
        <v>439</v>
      </c>
      <c r="N126">
        <v>72</v>
      </c>
      <c r="O126">
        <v>37.9</v>
      </c>
      <c r="P126">
        <v>65.7</v>
      </c>
      <c r="Q126">
        <v>183</v>
      </c>
      <c r="R126">
        <v>19.600000000000001</v>
      </c>
      <c r="S126" t="s">
        <v>73</v>
      </c>
      <c r="T126">
        <v>83320</v>
      </c>
      <c r="U126" t="s">
        <v>48</v>
      </c>
      <c r="V126" t="s">
        <v>31</v>
      </c>
    </row>
    <row r="127" spans="1:22" x14ac:dyDescent="0.25">
      <c r="A127" t="s">
        <v>440</v>
      </c>
      <c r="B127" t="s">
        <v>172</v>
      </c>
      <c r="C127">
        <v>44</v>
      </c>
      <c r="D127" t="s">
        <v>21</v>
      </c>
      <c r="E127" t="s">
        <v>34</v>
      </c>
      <c r="F127" t="s">
        <v>441</v>
      </c>
      <c r="G127" t="str">
        <f>TEXT(Patient_Visits[[#This Row],[Visit_Date (Updated)]],"MM")</f>
        <v>06</v>
      </c>
      <c r="H127" t="str">
        <f>TEXT(Patient_Visits[[#This Row],[Visit_Date (Updated)]],"MMMM")</f>
        <v>June</v>
      </c>
      <c r="I127" t="s">
        <v>77</v>
      </c>
      <c r="J127" t="s">
        <v>141</v>
      </c>
      <c r="K127" t="s">
        <v>26</v>
      </c>
      <c r="L127" t="s">
        <v>39</v>
      </c>
      <c r="M127" t="s">
        <v>442</v>
      </c>
      <c r="N127">
        <v>82</v>
      </c>
      <c r="O127">
        <v>36.6</v>
      </c>
      <c r="P127">
        <v>106.6</v>
      </c>
      <c r="Q127">
        <v>168</v>
      </c>
      <c r="R127">
        <v>37.799999999999997</v>
      </c>
      <c r="S127" t="s">
        <v>47</v>
      </c>
      <c r="T127">
        <v>45661</v>
      </c>
      <c r="U127" t="s">
        <v>48</v>
      </c>
      <c r="V127" t="s">
        <v>31</v>
      </c>
    </row>
    <row r="128" spans="1:22" x14ac:dyDescent="0.25">
      <c r="A128" t="s">
        <v>443</v>
      </c>
      <c r="B128" t="s">
        <v>176</v>
      </c>
      <c r="C128">
        <v>41</v>
      </c>
      <c r="D128" t="s">
        <v>21</v>
      </c>
      <c r="E128" t="s">
        <v>139</v>
      </c>
      <c r="F128" t="s">
        <v>140</v>
      </c>
      <c r="G128" t="str">
        <f>TEXT(Patient_Visits[[#This Row],[Visit_Date (Updated)]],"MM")</f>
        <v>01</v>
      </c>
      <c r="H128" t="str">
        <f>TEXT(Patient_Visits[[#This Row],[Visit_Date (Updated)]],"MMMM")</f>
        <v>January</v>
      </c>
      <c r="I128" t="s">
        <v>24</v>
      </c>
      <c r="J128" t="s">
        <v>141</v>
      </c>
      <c r="K128" t="s">
        <v>26</v>
      </c>
      <c r="L128" t="s">
        <v>27</v>
      </c>
      <c r="M128" t="s">
        <v>444</v>
      </c>
      <c r="N128">
        <v>102</v>
      </c>
      <c r="O128">
        <v>36.200000000000003</v>
      </c>
      <c r="P128">
        <v>67.2</v>
      </c>
      <c r="Q128">
        <v>176</v>
      </c>
      <c r="R128">
        <v>21.7</v>
      </c>
      <c r="S128" t="s">
        <v>73</v>
      </c>
      <c r="T128">
        <v>99392</v>
      </c>
      <c r="U128" t="s">
        <v>30</v>
      </c>
      <c r="V128" t="s">
        <v>56</v>
      </c>
    </row>
    <row r="129" spans="1:22" x14ac:dyDescent="0.25">
      <c r="A129" t="s">
        <v>445</v>
      </c>
      <c r="B129" t="s">
        <v>115</v>
      </c>
      <c r="C129">
        <v>24</v>
      </c>
      <c r="D129" t="s">
        <v>67</v>
      </c>
      <c r="E129" t="s">
        <v>132</v>
      </c>
      <c r="F129" t="s">
        <v>61</v>
      </c>
      <c r="G129" t="str">
        <f>TEXT(Patient_Visits[[#This Row],[Visit_Date (Updated)]],"MM")</f>
        <v>12</v>
      </c>
      <c r="H129" t="str">
        <f>TEXT(Patient_Visits[[#This Row],[Visit_Date (Updated)]],"MMMM")</f>
        <v>December</v>
      </c>
      <c r="I129" t="s">
        <v>98</v>
      </c>
      <c r="J129" t="s">
        <v>141</v>
      </c>
      <c r="K129" t="s">
        <v>108</v>
      </c>
      <c r="L129" t="s">
        <v>63</v>
      </c>
      <c r="M129" t="s">
        <v>446</v>
      </c>
      <c r="N129">
        <v>107</v>
      </c>
      <c r="O129">
        <v>39</v>
      </c>
      <c r="P129">
        <v>104.5</v>
      </c>
      <c r="Q129">
        <v>178</v>
      </c>
      <c r="R129">
        <v>33</v>
      </c>
      <c r="S129" t="s">
        <v>73</v>
      </c>
      <c r="T129">
        <v>105883</v>
      </c>
      <c r="U129" t="s">
        <v>74</v>
      </c>
      <c r="V129" t="s">
        <v>56</v>
      </c>
    </row>
    <row r="130" spans="1:22" x14ac:dyDescent="0.25">
      <c r="A130" t="s">
        <v>447</v>
      </c>
      <c r="B130" t="s">
        <v>121</v>
      </c>
      <c r="C130">
        <v>57</v>
      </c>
      <c r="D130" t="s">
        <v>21</v>
      </c>
      <c r="E130" t="s">
        <v>60</v>
      </c>
      <c r="F130" t="s">
        <v>448</v>
      </c>
      <c r="G130" t="str">
        <f>TEXT(Patient_Visits[[#This Row],[Visit_Date (Updated)]],"MM")</f>
        <v>07</v>
      </c>
      <c r="H130" t="str">
        <f>TEXT(Patient_Visits[[#This Row],[Visit_Date (Updated)]],"MMMM")</f>
        <v>July</v>
      </c>
      <c r="I130" t="s">
        <v>52</v>
      </c>
      <c r="J130" t="s">
        <v>37</v>
      </c>
      <c r="K130" t="s">
        <v>45</v>
      </c>
      <c r="L130" t="s">
        <v>39</v>
      </c>
      <c r="M130" t="s">
        <v>449</v>
      </c>
      <c r="N130">
        <v>86</v>
      </c>
      <c r="O130">
        <v>39</v>
      </c>
      <c r="P130">
        <v>59.6</v>
      </c>
      <c r="Q130">
        <v>187</v>
      </c>
      <c r="R130">
        <v>17</v>
      </c>
      <c r="S130" t="s">
        <v>47</v>
      </c>
      <c r="T130">
        <v>17552</v>
      </c>
      <c r="U130" t="s">
        <v>48</v>
      </c>
      <c r="V130" t="s">
        <v>31</v>
      </c>
    </row>
    <row r="131" spans="1:22" x14ac:dyDescent="0.25">
      <c r="A131" t="s">
        <v>450</v>
      </c>
      <c r="B131" t="s">
        <v>125</v>
      </c>
      <c r="C131">
        <v>63</v>
      </c>
      <c r="D131" t="s">
        <v>67</v>
      </c>
      <c r="E131" t="s">
        <v>132</v>
      </c>
      <c r="F131" t="s">
        <v>451</v>
      </c>
      <c r="G131" t="str">
        <f>TEXT(Patient_Visits[[#This Row],[Visit_Date (Updated)]],"MM")</f>
        <v>05</v>
      </c>
      <c r="H131" t="str">
        <f>TEXT(Patient_Visits[[#This Row],[Visit_Date (Updated)]],"MMMM")</f>
        <v>May</v>
      </c>
      <c r="I131" t="s">
        <v>98</v>
      </c>
      <c r="J131" t="s">
        <v>70</v>
      </c>
      <c r="K131" t="s">
        <v>26</v>
      </c>
      <c r="L131" t="s">
        <v>39</v>
      </c>
      <c r="M131" t="s">
        <v>452</v>
      </c>
      <c r="N131">
        <v>110</v>
      </c>
      <c r="O131">
        <v>38.6</v>
      </c>
      <c r="P131">
        <v>109.3</v>
      </c>
      <c r="Q131">
        <v>172</v>
      </c>
      <c r="R131">
        <v>36.9</v>
      </c>
      <c r="S131" t="s">
        <v>55</v>
      </c>
      <c r="T131">
        <v>42324</v>
      </c>
      <c r="U131" t="s">
        <v>30</v>
      </c>
      <c r="V131" t="s">
        <v>31</v>
      </c>
    </row>
    <row r="132" spans="1:22" x14ac:dyDescent="0.25">
      <c r="A132" t="s">
        <v>453</v>
      </c>
      <c r="B132" t="s">
        <v>20</v>
      </c>
      <c r="C132">
        <v>23</v>
      </c>
      <c r="D132" t="s">
        <v>67</v>
      </c>
      <c r="E132" t="s">
        <v>22</v>
      </c>
      <c r="F132" t="s">
        <v>454</v>
      </c>
      <c r="G132" t="str">
        <f>TEXT(Patient_Visits[[#This Row],[Visit_Date (Updated)]],"MM")</f>
        <v>10</v>
      </c>
      <c r="H132" t="str">
        <f>TEXT(Patient_Visits[[#This Row],[Visit_Date (Updated)]],"MMMM")</f>
        <v>October</v>
      </c>
      <c r="I132" t="s">
        <v>77</v>
      </c>
      <c r="J132" t="s">
        <v>25</v>
      </c>
      <c r="K132" t="s">
        <v>71</v>
      </c>
      <c r="L132" t="s">
        <v>63</v>
      </c>
      <c r="M132" t="s">
        <v>455</v>
      </c>
      <c r="N132">
        <v>73</v>
      </c>
      <c r="O132">
        <v>39.4</v>
      </c>
      <c r="P132">
        <v>102.4</v>
      </c>
      <c r="Q132">
        <v>148</v>
      </c>
      <c r="R132">
        <v>46.7</v>
      </c>
      <c r="S132" t="s">
        <v>29</v>
      </c>
      <c r="T132">
        <v>9218</v>
      </c>
      <c r="U132" t="s">
        <v>48</v>
      </c>
      <c r="V132" t="s">
        <v>31</v>
      </c>
    </row>
    <row r="133" spans="1:22" x14ac:dyDescent="0.25">
      <c r="A133" t="s">
        <v>456</v>
      </c>
      <c r="B133" t="s">
        <v>33</v>
      </c>
      <c r="C133">
        <v>43</v>
      </c>
      <c r="D133" t="s">
        <v>67</v>
      </c>
      <c r="E133" t="s">
        <v>22</v>
      </c>
      <c r="F133" t="s">
        <v>383</v>
      </c>
      <c r="G133" t="str">
        <f>TEXT(Patient_Visits[[#This Row],[Visit_Date (Updated)]],"MM")</f>
        <v>09</v>
      </c>
      <c r="H133" t="str">
        <f>TEXT(Patient_Visits[[#This Row],[Visit_Date (Updated)]],"MMMM")</f>
        <v>September</v>
      </c>
      <c r="I133" t="s">
        <v>52</v>
      </c>
      <c r="J133" t="s">
        <v>70</v>
      </c>
      <c r="K133" t="s">
        <v>78</v>
      </c>
      <c r="L133" t="s">
        <v>39</v>
      </c>
      <c r="M133" t="s">
        <v>457</v>
      </c>
      <c r="N133">
        <v>98</v>
      </c>
      <c r="O133">
        <v>38.4</v>
      </c>
      <c r="P133">
        <v>71.7</v>
      </c>
      <c r="Q133">
        <v>148</v>
      </c>
      <c r="R133">
        <v>32.700000000000003</v>
      </c>
      <c r="S133" t="s">
        <v>29</v>
      </c>
      <c r="T133">
        <v>71845</v>
      </c>
      <c r="U133" t="s">
        <v>30</v>
      </c>
      <c r="V133" t="s">
        <v>56</v>
      </c>
    </row>
    <row r="134" spans="1:22" x14ac:dyDescent="0.25">
      <c r="A134" t="s">
        <v>458</v>
      </c>
      <c r="B134" t="s">
        <v>43</v>
      </c>
      <c r="C134">
        <v>57</v>
      </c>
      <c r="D134" t="s">
        <v>67</v>
      </c>
      <c r="E134" t="s">
        <v>22</v>
      </c>
      <c r="F134" t="s">
        <v>459</v>
      </c>
      <c r="G134" t="str">
        <f>TEXT(Patient_Visits[[#This Row],[Visit_Date (Updated)]],"MM")</f>
        <v>11</v>
      </c>
      <c r="H134" t="str">
        <f>TEXT(Patient_Visits[[#This Row],[Visit_Date (Updated)]],"MMMM")</f>
        <v>November</v>
      </c>
      <c r="I134" t="s">
        <v>52</v>
      </c>
      <c r="J134" t="s">
        <v>37</v>
      </c>
      <c r="K134" t="s">
        <v>84</v>
      </c>
      <c r="L134" t="s">
        <v>99</v>
      </c>
      <c r="M134" t="s">
        <v>460</v>
      </c>
      <c r="N134">
        <v>85</v>
      </c>
      <c r="O134">
        <v>37.5</v>
      </c>
      <c r="P134">
        <v>83.7</v>
      </c>
      <c r="Q134">
        <v>185</v>
      </c>
      <c r="R134">
        <v>24.5</v>
      </c>
      <c r="S134" t="s">
        <v>73</v>
      </c>
      <c r="T134">
        <v>93646</v>
      </c>
      <c r="U134" t="s">
        <v>74</v>
      </c>
      <c r="V134" t="s">
        <v>56</v>
      </c>
    </row>
    <row r="135" spans="1:22" x14ac:dyDescent="0.25">
      <c r="A135" t="s">
        <v>461</v>
      </c>
      <c r="B135" t="s">
        <v>50</v>
      </c>
      <c r="C135">
        <v>26</v>
      </c>
      <c r="D135" t="s">
        <v>67</v>
      </c>
      <c r="E135" t="s">
        <v>132</v>
      </c>
      <c r="F135" t="s">
        <v>462</v>
      </c>
      <c r="G135" t="str">
        <f>TEXT(Patient_Visits[[#This Row],[Visit_Date (Updated)]],"MM")</f>
        <v>07</v>
      </c>
      <c r="H135" t="str">
        <f>TEXT(Patient_Visits[[#This Row],[Visit_Date (Updated)]],"MMMM")</f>
        <v>July</v>
      </c>
      <c r="I135" t="s">
        <v>24</v>
      </c>
      <c r="J135" t="s">
        <v>53</v>
      </c>
      <c r="K135" t="s">
        <v>26</v>
      </c>
      <c r="L135" t="s">
        <v>99</v>
      </c>
      <c r="M135" t="s">
        <v>463</v>
      </c>
      <c r="N135">
        <v>104</v>
      </c>
      <c r="O135">
        <v>37.200000000000003</v>
      </c>
      <c r="P135">
        <v>105.5</v>
      </c>
      <c r="Q135">
        <v>180</v>
      </c>
      <c r="R135">
        <v>32.6</v>
      </c>
      <c r="S135" t="s">
        <v>55</v>
      </c>
      <c r="T135">
        <v>85719</v>
      </c>
      <c r="U135" t="s">
        <v>30</v>
      </c>
      <c r="V135" t="s">
        <v>31</v>
      </c>
    </row>
    <row r="136" spans="1:22" x14ac:dyDescent="0.25">
      <c r="A136" t="s">
        <v>464</v>
      </c>
      <c r="B136" t="s">
        <v>58</v>
      </c>
      <c r="C136">
        <v>70</v>
      </c>
      <c r="D136" t="s">
        <v>21</v>
      </c>
      <c r="E136" t="s">
        <v>34</v>
      </c>
      <c r="F136" t="s">
        <v>465</v>
      </c>
      <c r="G136" t="str">
        <f>TEXT(Patient_Visits[[#This Row],[Visit_Date (Updated)]],"MM")</f>
        <v>07</v>
      </c>
      <c r="H136" t="str">
        <f>TEXT(Patient_Visits[[#This Row],[Visit_Date (Updated)]],"MMMM")</f>
        <v>July</v>
      </c>
      <c r="I136" t="s">
        <v>77</v>
      </c>
      <c r="J136" t="s">
        <v>25</v>
      </c>
      <c r="K136" t="s">
        <v>62</v>
      </c>
      <c r="L136" t="s">
        <v>27</v>
      </c>
      <c r="M136" t="s">
        <v>457</v>
      </c>
      <c r="N136">
        <v>104</v>
      </c>
      <c r="O136">
        <v>37.4</v>
      </c>
      <c r="P136">
        <v>95.1</v>
      </c>
      <c r="Q136">
        <v>167</v>
      </c>
      <c r="R136">
        <v>34.1</v>
      </c>
      <c r="S136" t="s">
        <v>47</v>
      </c>
      <c r="T136">
        <v>3512</v>
      </c>
      <c r="U136" t="s">
        <v>48</v>
      </c>
      <c r="V136" t="s">
        <v>31</v>
      </c>
    </row>
    <row r="137" spans="1:22" x14ac:dyDescent="0.25">
      <c r="A137" t="s">
        <v>466</v>
      </c>
      <c r="B137" t="s">
        <v>66</v>
      </c>
      <c r="C137">
        <v>17</v>
      </c>
      <c r="D137" t="s">
        <v>21</v>
      </c>
      <c r="E137" t="s">
        <v>60</v>
      </c>
      <c r="F137" t="s">
        <v>467</v>
      </c>
      <c r="G137" t="str">
        <f>TEXT(Patient_Visits[[#This Row],[Visit_Date (Updated)]],"MM")</f>
        <v>04</v>
      </c>
      <c r="H137" t="str">
        <f>TEXT(Patient_Visits[[#This Row],[Visit_Date (Updated)]],"MMMM")</f>
        <v>April</v>
      </c>
      <c r="I137" t="s">
        <v>77</v>
      </c>
      <c r="J137" t="s">
        <v>70</v>
      </c>
      <c r="K137" t="s">
        <v>26</v>
      </c>
      <c r="L137" t="s">
        <v>63</v>
      </c>
      <c r="M137" t="s">
        <v>468</v>
      </c>
      <c r="N137">
        <v>69</v>
      </c>
      <c r="O137">
        <v>38</v>
      </c>
      <c r="P137">
        <v>68.8</v>
      </c>
      <c r="Q137">
        <v>155</v>
      </c>
      <c r="R137">
        <v>28.6</v>
      </c>
      <c r="S137" t="s">
        <v>41</v>
      </c>
      <c r="T137">
        <v>23548</v>
      </c>
      <c r="U137" t="s">
        <v>74</v>
      </c>
      <c r="V137" t="s">
        <v>56</v>
      </c>
    </row>
    <row r="138" spans="1:22" x14ac:dyDescent="0.25">
      <c r="A138" t="s">
        <v>469</v>
      </c>
      <c r="B138" t="s">
        <v>76</v>
      </c>
      <c r="C138">
        <v>8</v>
      </c>
      <c r="D138" t="s">
        <v>21</v>
      </c>
      <c r="E138" t="s">
        <v>96</v>
      </c>
      <c r="F138" t="s">
        <v>470</v>
      </c>
      <c r="G138" t="str">
        <f>TEXT(Patient_Visits[[#This Row],[Visit_Date (Updated)]],"MM")</f>
        <v>03</v>
      </c>
      <c r="H138" t="str">
        <f>TEXT(Patient_Visits[[#This Row],[Visit_Date (Updated)]],"MMMM")</f>
        <v>March</v>
      </c>
      <c r="I138" t="s">
        <v>52</v>
      </c>
      <c r="J138" t="s">
        <v>70</v>
      </c>
      <c r="K138" t="s">
        <v>89</v>
      </c>
      <c r="L138" t="s">
        <v>39</v>
      </c>
      <c r="M138" t="s">
        <v>471</v>
      </c>
      <c r="N138">
        <v>103</v>
      </c>
      <c r="O138">
        <v>38.700000000000003</v>
      </c>
      <c r="P138">
        <v>62.6</v>
      </c>
      <c r="Q138">
        <v>163</v>
      </c>
      <c r="R138">
        <v>23.6</v>
      </c>
      <c r="S138" t="s">
        <v>73</v>
      </c>
      <c r="T138">
        <v>39103</v>
      </c>
      <c r="U138" t="s">
        <v>30</v>
      </c>
      <c r="V138" t="s">
        <v>56</v>
      </c>
    </row>
    <row r="139" spans="1:22" x14ac:dyDescent="0.25">
      <c r="A139" t="s">
        <v>472</v>
      </c>
      <c r="B139" t="s">
        <v>81</v>
      </c>
      <c r="C139">
        <v>39</v>
      </c>
      <c r="D139" t="s">
        <v>21</v>
      </c>
      <c r="E139" t="s">
        <v>96</v>
      </c>
      <c r="F139" t="s">
        <v>311</v>
      </c>
      <c r="G139" t="str">
        <f>TEXT(Patient_Visits[[#This Row],[Visit_Date (Updated)]],"MM")</f>
        <v>06</v>
      </c>
      <c r="H139" t="str">
        <f>TEXT(Patient_Visits[[#This Row],[Visit_Date (Updated)]],"MMMM")</f>
        <v>June</v>
      </c>
      <c r="I139" t="s">
        <v>77</v>
      </c>
      <c r="J139" t="s">
        <v>70</v>
      </c>
      <c r="K139" t="s">
        <v>62</v>
      </c>
      <c r="L139" t="s">
        <v>39</v>
      </c>
      <c r="M139" t="s">
        <v>473</v>
      </c>
      <c r="N139">
        <v>74</v>
      </c>
      <c r="O139">
        <v>39.1</v>
      </c>
      <c r="P139">
        <v>80.8</v>
      </c>
      <c r="Q139">
        <v>150</v>
      </c>
      <c r="R139">
        <v>35.9</v>
      </c>
      <c r="S139" t="s">
        <v>55</v>
      </c>
      <c r="T139">
        <v>10154</v>
      </c>
      <c r="U139" t="s">
        <v>74</v>
      </c>
      <c r="V139" t="s">
        <v>56</v>
      </c>
    </row>
    <row r="140" spans="1:22" x14ac:dyDescent="0.25">
      <c r="A140" t="s">
        <v>474</v>
      </c>
      <c r="B140" t="s">
        <v>87</v>
      </c>
      <c r="C140">
        <v>36</v>
      </c>
      <c r="D140" t="s">
        <v>21</v>
      </c>
      <c r="E140" t="s">
        <v>60</v>
      </c>
      <c r="F140" t="s">
        <v>475</v>
      </c>
      <c r="G140" t="str">
        <f>TEXT(Patient_Visits[[#This Row],[Visit_Date (Updated)]],"MM")</f>
        <v>03</v>
      </c>
      <c r="H140" t="str">
        <f>TEXT(Patient_Visits[[#This Row],[Visit_Date (Updated)]],"MMMM")</f>
        <v>March</v>
      </c>
      <c r="I140" t="s">
        <v>52</v>
      </c>
      <c r="J140" t="s">
        <v>141</v>
      </c>
      <c r="K140" t="s">
        <v>71</v>
      </c>
      <c r="L140" t="s">
        <v>27</v>
      </c>
      <c r="M140" t="s">
        <v>476</v>
      </c>
      <c r="N140">
        <v>86</v>
      </c>
      <c r="O140">
        <v>38.1</v>
      </c>
      <c r="P140">
        <v>107.2</v>
      </c>
      <c r="Q140">
        <v>179</v>
      </c>
      <c r="R140">
        <v>33.5</v>
      </c>
      <c r="S140" t="s">
        <v>29</v>
      </c>
      <c r="T140">
        <v>34841</v>
      </c>
      <c r="U140" t="s">
        <v>74</v>
      </c>
      <c r="V140" t="s">
        <v>31</v>
      </c>
    </row>
    <row r="141" spans="1:22" x14ac:dyDescent="0.25">
      <c r="A141" t="s">
        <v>477</v>
      </c>
      <c r="B141" t="s">
        <v>267</v>
      </c>
      <c r="C141">
        <v>33</v>
      </c>
      <c r="D141" t="s">
        <v>67</v>
      </c>
      <c r="E141" t="s">
        <v>139</v>
      </c>
      <c r="F141" t="s">
        <v>88</v>
      </c>
      <c r="G141" t="str">
        <f>TEXT(Patient_Visits[[#This Row],[Visit_Date (Updated)]],"MM")</f>
        <v>07</v>
      </c>
      <c r="H141" t="str">
        <f>TEXT(Patient_Visits[[#This Row],[Visit_Date (Updated)]],"MMMM")</f>
        <v>July</v>
      </c>
      <c r="I141" t="s">
        <v>36</v>
      </c>
      <c r="J141" t="s">
        <v>70</v>
      </c>
      <c r="K141" t="s">
        <v>38</v>
      </c>
      <c r="L141" t="s">
        <v>99</v>
      </c>
      <c r="M141" t="s">
        <v>478</v>
      </c>
      <c r="N141">
        <v>70</v>
      </c>
      <c r="O141">
        <v>37.299999999999997</v>
      </c>
      <c r="P141">
        <v>53.1</v>
      </c>
      <c r="Q141">
        <v>166</v>
      </c>
      <c r="R141">
        <v>19.3</v>
      </c>
      <c r="S141" t="s">
        <v>55</v>
      </c>
      <c r="T141">
        <v>76601</v>
      </c>
      <c r="U141" t="s">
        <v>48</v>
      </c>
      <c r="V141" t="s">
        <v>56</v>
      </c>
    </row>
    <row r="142" spans="1:22" x14ac:dyDescent="0.25">
      <c r="A142" t="s">
        <v>479</v>
      </c>
      <c r="B142" t="s">
        <v>92</v>
      </c>
      <c r="C142">
        <v>47</v>
      </c>
      <c r="D142" t="s">
        <v>67</v>
      </c>
      <c r="E142" t="s">
        <v>132</v>
      </c>
      <c r="F142" t="s">
        <v>480</v>
      </c>
      <c r="G142" t="str">
        <f>TEXT(Patient_Visits[[#This Row],[Visit_Date (Updated)]],"MM")</f>
        <v>07</v>
      </c>
      <c r="H142" t="str">
        <f>TEXT(Patient_Visits[[#This Row],[Visit_Date (Updated)]],"MMMM")</f>
        <v>July</v>
      </c>
      <c r="I142" t="s">
        <v>36</v>
      </c>
      <c r="J142" t="s">
        <v>25</v>
      </c>
      <c r="K142" t="s">
        <v>45</v>
      </c>
      <c r="L142" t="s">
        <v>39</v>
      </c>
      <c r="M142" t="s">
        <v>481</v>
      </c>
      <c r="N142">
        <v>75</v>
      </c>
      <c r="O142">
        <v>37.4</v>
      </c>
      <c r="P142">
        <v>72.7</v>
      </c>
      <c r="Q142">
        <v>170</v>
      </c>
      <c r="R142">
        <v>25.2</v>
      </c>
      <c r="S142" t="s">
        <v>41</v>
      </c>
      <c r="T142">
        <v>60091</v>
      </c>
      <c r="U142" t="s">
        <v>30</v>
      </c>
      <c r="V142" t="s">
        <v>31</v>
      </c>
    </row>
    <row r="143" spans="1:22" x14ac:dyDescent="0.25">
      <c r="A143" t="s">
        <v>482</v>
      </c>
      <c r="B143" t="s">
        <v>95</v>
      </c>
      <c r="C143">
        <v>8</v>
      </c>
      <c r="D143" t="s">
        <v>67</v>
      </c>
      <c r="E143" t="s">
        <v>116</v>
      </c>
      <c r="F143" t="s">
        <v>483</v>
      </c>
      <c r="G143" t="str">
        <f>TEXT(Patient_Visits[[#This Row],[Visit_Date (Updated)]],"MM")</f>
        <v>05</v>
      </c>
      <c r="H143" t="str">
        <f>TEXT(Patient_Visits[[#This Row],[Visit_Date (Updated)]],"MMMM")</f>
        <v>May</v>
      </c>
      <c r="I143" t="s">
        <v>36</v>
      </c>
      <c r="J143" t="s">
        <v>141</v>
      </c>
      <c r="K143" t="s">
        <v>45</v>
      </c>
      <c r="L143" t="s">
        <v>99</v>
      </c>
      <c r="M143" t="s">
        <v>484</v>
      </c>
      <c r="N143">
        <v>110</v>
      </c>
      <c r="O143">
        <v>36.4</v>
      </c>
      <c r="P143">
        <v>71</v>
      </c>
      <c r="Q143">
        <v>163</v>
      </c>
      <c r="R143">
        <v>26.7</v>
      </c>
      <c r="S143" t="s">
        <v>41</v>
      </c>
      <c r="T143">
        <v>51223</v>
      </c>
      <c r="U143" t="s">
        <v>48</v>
      </c>
      <c r="V143" t="s">
        <v>56</v>
      </c>
    </row>
    <row r="144" spans="1:22" x14ac:dyDescent="0.25">
      <c r="A144" t="s">
        <v>485</v>
      </c>
      <c r="B144" t="s">
        <v>102</v>
      </c>
      <c r="C144">
        <v>56</v>
      </c>
      <c r="D144" t="s">
        <v>67</v>
      </c>
      <c r="E144" t="s">
        <v>34</v>
      </c>
      <c r="F144" t="s">
        <v>486</v>
      </c>
      <c r="G144" t="str">
        <f>TEXT(Patient_Visits[[#This Row],[Visit_Date (Updated)]],"MM")</f>
        <v>06</v>
      </c>
      <c r="H144" t="str">
        <f>TEXT(Patient_Visits[[#This Row],[Visit_Date (Updated)]],"MMMM")</f>
        <v>June</v>
      </c>
      <c r="I144" t="s">
        <v>83</v>
      </c>
      <c r="J144" t="s">
        <v>37</v>
      </c>
      <c r="K144" t="s">
        <v>108</v>
      </c>
      <c r="L144" t="s">
        <v>99</v>
      </c>
      <c r="M144" t="s">
        <v>127</v>
      </c>
      <c r="N144">
        <v>105</v>
      </c>
      <c r="O144">
        <v>39.5</v>
      </c>
      <c r="P144">
        <v>81.7</v>
      </c>
      <c r="Q144">
        <v>176</v>
      </c>
      <c r="R144">
        <v>26.4</v>
      </c>
      <c r="S144" t="s">
        <v>47</v>
      </c>
      <c r="T144">
        <v>51233</v>
      </c>
      <c r="U144" t="s">
        <v>74</v>
      </c>
      <c r="V144" t="s">
        <v>56</v>
      </c>
    </row>
    <row r="145" spans="1:22" x14ac:dyDescent="0.25">
      <c r="A145" t="s">
        <v>487</v>
      </c>
      <c r="B145" t="s">
        <v>106</v>
      </c>
      <c r="C145">
        <v>56</v>
      </c>
      <c r="D145" t="s">
        <v>21</v>
      </c>
      <c r="E145" t="s">
        <v>116</v>
      </c>
      <c r="F145" t="s">
        <v>364</v>
      </c>
      <c r="G145" t="str">
        <f>TEXT(Patient_Visits[[#This Row],[Visit_Date (Updated)]],"MM")</f>
        <v>03</v>
      </c>
      <c r="H145" t="str">
        <f>TEXT(Patient_Visits[[#This Row],[Visit_Date (Updated)]],"MMMM")</f>
        <v>March</v>
      </c>
      <c r="I145" t="s">
        <v>36</v>
      </c>
      <c r="J145" t="s">
        <v>37</v>
      </c>
      <c r="K145" t="s">
        <v>45</v>
      </c>
      <c r="L145" t="s">
        <v>63</v>
      </c>
      <c r="M145" t="s">
        <v>488</v>
      </c>
      <c r="N145">
        <v>102</v>
      </c>
      <c r="O145">
        <v>38.5</v>
      </c>
      <c r="P145">
        <v>50.2</v>
      </c>
      <c r="Q145">
        <v>148</v>
      </c>
      <c r="R145">
        <v>22.9</v>
      </c>
      <c r="S145" t="s">
        <v>55</v>
      </c>
      <c r="T145">
        <v>96153</v>
      </c>
      <c r="U145" t="s">
        <v>30</v>
      </c>
      <c r="V145" t="s">
        <v>56</v>
      </c>
    </row>
    <row r="146" spans="1:22" x14ac:dyDescent="0.25">
      <c r="A146" t="s">
        <v>489</v>
      </c>
      <c r="B146" t="s">
        <v>111</v>
      </c>
      <c r="C146">
        <v>34</v>
      </c>
      <c r="D146" t="s">
        <v>67</v>
      </c>
      <c r="E146" t="s">
        <v>34</v>
      </c>
      <c r="F146" t="s">
        <v>430</v>
      </c>
      <c r="G146" t="str">
        <f>TEXT(Patient_Visits[[#This Row],[Visit_Date (Updated)]],"MM")</f>
        <v>12</v>
      </c>
      <c r="H146" t="str">
        <f>TEXT(Patient_Visits[[#This Row],[Visit_Date (Updated)]],"MMMM")</f>
        <v>December</v>
      </c>
      <c r="I146" t="s">
        <v>24</v>
      </c>
      <c r="J146" t="s">
        <v>25</v>
      </c>
      <c r="K146" t="s">
        <v>26</v>
      </c>
      <c r="L146" t="s">
        <v>63</v>
      </c>
      <c r="M146" t="s">
        <v>490</v>
      </c>
      <c r="N146">
        <v>72</v>
      </c>
      <c r="O146">
        <v>36.200000000000003</v>
      </c>
      <c r="P146">
        <v>61.8</v>
      </c>
      <c r="Q146">
        <v>162</v>
      </c>
      <c r="R146">
        <v>23.5</v>
      </c>
      <c r="S146" t="s">
        <v>73</v>
      </c>
      <c r="T146">
        <v>19532</v>
      </c>
      <c r="U146" t="s">
        <v>74</v>
      </c>
      <c r="V146" t="s">
        <v>31</v>
      </c>
    </row>
    <row r="147" spans="1:22" x14ac:dyDescent="0.25">
      <c r="A147" t="s">
        <v>491</v>
      </c>
      <c r="B147" t="s">
        <v>172</v>
      </c>
      <c r="C147">
        <v>41</v>
      </c>
      <c r="D147" t="s">
        <v>67</v>
      </c>
      <c r="E147" t="s">
        <v>22</v>
      </c>
      <c r="F147" t="s">
        <v>492</v>
      </c>
      <c r="G147" t="str">
        <f>TEXT(Patient_Visits[[#This Row],[Visit_Date (Updated)]],"MM")</f>
        <v>08</v>
      </c>
      <c r="H147" t="str">
        <f>TEXT(Patient_Visits[[#This Row],[Visit_Date (Updated)]],"MMMM")</f>
        <v>August</v>
      </c>
      <c r="I147" t="s">
        <v>36</v>
      </c>
      <c r="J147" t="s">
        <v>141</v>
      </c>
      <c r="K147" t="s">
        <v>93</v>
      </c>
      <c r="L147" t="s">
        <v>99</v>
      </c>
      <c r="M147" t="s">
        <v>493</v>
      </c>
      <c r="N147">
        <v>103</v>
      </c>
      <c r="O147">
        <v>38.799999999999997</v>
      </c>
      <c r="P147">
        <v>88.4</v>
      </c>
      <c r="Q147">
        <v>174</v>
      </c>
      <c r="R147">
        <v>29.2</v>
      </c>
      <c r="S147" t="s">
        <v>29</v>
      </c>
      <c r="T147">
        <v>89384</v>
      </c>
      <c r="U147" t="s">
        <v>74</v>
      </c>
      <c r="V147" t="s">
        <v>31</v>
      </c>
    </row>
    <row r="148" spans="1:22" x14ac:dyDescent="0.25">
      <c r="A148" t="s">
        <v>494</v>
      </c>
      <c r="B148" t="s">
        <v>176</v>
      </c>
      <c r="C148">
        <v>36</v>
      </c>
      <c r="D148" t="s">
        <v>67</v>
      </c>
      <c r="E148" t="s">
        <v>132</v>
      </c>
      <c r="F148" t="s">
        <v>495</v>
      </c>
      <c r="G148" t="str">
        <f>TEXT(Patient_Visits[[#This Row],[Visit_Date (Updated)]],"MM")</f>
        <v>11</v>
      </c>
      <c r="H148" t="str">
        <f>TEXT(Patient_Visits[[#This Row],[Visit_Date (Updated)]],"MMMM")</f>
        <v>November</v>
      </c>
      <c r="I148" t="s">
        <v>24</v>
      </c>
      <c r="J148" t="s">
        <v>141</v>
      </c>
      <c r="K148" t="s">
        <v>93</v>
      </c>
      <c r="L148" t="s">
        <v>27</v>
      </c>
      <c r="M148" t="s">
        <v>496</v>
      </c>
      <c r="N148">
        <v>105</v>
      </c>
      <c r="O148">
        <v>38.4</v>
      </c>
      <c r="P148">
        <v>68.3</v>
      </c>
      <c r="Q148">
        <v>186</v>
      </c>
      <c r="R148">
        <v>19.7</v>
      </c>
      <c r="S148" t="s">
        <v>41</v>
      </c>
      <c r="T148">
        <v>59453</v>
      </c>
      <c r="U148" t="s">
        <v>30</v>
      </c>
      <c r="V148" t="s">
        <v>31</v>
      </c>
    </row>
    <row r="149" spans="1:22" x14ac:dyDescent="0.25">
      <c r="A149" t="s">
        <v>497</v>
      </c>
      <c r="B149" t="s">
        <v>115</v>
      </c>
      <c r="C149">
        <v>24</v>
      </c>
      <c r="D149" t="s">
        <v>67</v>
      </c>
      <c r="E149" t="s">
        <v>60</v>
      </c>
      <c r="F149" t="s">
        <v>498</v>
      </c>
      <c r="G149" t="str">
        <f>TEXT(Patient_Visits[[#This Row],[Visit_Date (Updated)]],"MM")</f>
        <v>10</v>
      </c>
      <c r="H149" t="str">
        <f>TEXT(Patient_Visits[[#This Row],[Visit_Date (Updated)]],"MMMM")</f>
        <v>October</v>
      </c>
      <c r="I149" t="s">
        <v>98</v>
      </c>
      <c r="J149" t="s">
        <v>141</v>
      </c>
      <c r="K149" t="s">
        <v>62</v>
      </c>
      <c r="L149" t="s">
        <v>99</v>
      </c>
      <c r="M149" t="s">
        <v>499</v>
      </c>
      <c r="N149">
        <v>76</v>
      </c>
      <c r="O149">
        <v>39.200000000000003</v>
      </c>
      <c r="P149">
        <v>86.9</v>
      </c>
      <c r="Q149">
        <v>184</v>
      </c>
      <c r="R149">
        <v>25.7</v>
      </c>
      <c r="S149" t="s">
        <v>73</v>
      </c>
      <c r="T149">
        <v>3127</v>
      </c>
      <c r="U149" t="s">
        <v>30</v>
      </c>
      <c r="V149" t="s">
        <v>31</v>
      </c>
    </row>
    <row r="150" spans="1:22" x14ac:dyDescent="0.25">
      <c r="A150" t="s">
        <v>500</v>
      </c>
      <c r="B150" t="s">
        <v>121</v>
      </c>
      <c r="C150">
        <v>10</v>
      </c>
      <c r="D150" t="s">
        <v>21</v>
      </c>
      <c r="E150" t="s">
        <v>34</v>
      </c>
      <c r="F150" t="s">
        <v>501</v>
      </c>
      <c r="G150" t="str">
        <f>TEXT(Patient_Visits[[#This Row],[Visit_Date (Updated)]],"MM")</f>
        <v>12</v>
      </c>
      <c r="H150" t="str">
        <f>TEXT(Patient_Visits[[#This Row],[Visit_Date (Updated)]],"MMMM")</f>
        <v>December</v>
      </c>
      <c r="I150" t="s">
        <v>24</v>
      </c>
      <c r="J150" t="s">
        <v>25</v>
      </c>
      <c r="K150" t="s">
        <v>71</v>
      </c>
      <c r="L150" t="s">
        <v>99</v>
      </c>
      <c r="M150" t="s">
        <v>502</v>
      </c>
      <c r="N150">
        <v>86</v>
      </c>
      <c r="O150">
        <v>38.4</v>
      </c>
      <c r="P150">
        <v>67.599999999999994</v>
      </c>
      <c r="Q150">
        <v>187</v>
      </c>
      <c r="R150">
        <v>19.3</v>
      </c>
      <c r="S150" t="s">
        <v>41</v>
      </c>
      <c r="T150">
        <v>39852</v>
      </c>
      <c r="U150" t="s">
        <v>74</v>
      </c>
      <c r="V150" t="s">
        <v>56</v>
      </c>
    </row>
    <row r="151" spans="1:22" x14ac:dyDescent="0.25">
      <c r="A151" t="s">
        <v>503</v>
      </c>
      <c r="B151" t="s">
        <v>125</v>
      </c>
      <c r="C151">
        <v>49</v>
      </c>
      <c r="D151" t="s">
        <v>67</v>
      </c>
      <c r="E151" t="s">
        <v>68</v>
      </c>
      <c r="F151" t="s">
        <v>504</v>
      </c>
      <c r="G151" t="str">
        <f>TEXT(Patient_Visits[[#This Row],[Visit_Date (Updated)]],"MM")</f>
        <v>06</v>
      </c>
      <c r="H151" t="str">
        <f>TEXT(Patient_Visits[[#This Row],[Visit_Date (Updated)]],"MMMM")</f>
        <v>June</v>
      </c>
      <c r="I151" t="s">
        <v>36</v>
      </c>
      <c r="J151" t="s">
        <v>37</v>
      </c>
      <c r="K151" t="s">
        <v>89</v>
      </c>
      <c r="L151" t="s">
        <v>27</v>
      </c>
      <c r="M151" t="s">
        <v>505</v>
      </c>
      <c r="N151">
        <v>103</v>
      </c>
      <c r="O151">
        <v>37.799999999999997</v>
      </c>
      <c r="P151">
        <v>105</v>
      </c>
      <c r="Q151">
        <v>156</v>
      </c>
      <c r="R151">
        <v>43.1</v>
      </c>
      <c r="S151" t="s">
        <v>55</v>
      </c>
      <c r="T151">
        <v>102866</v>
      </c>
      <c r="U151" t="s">
        <v>30</v>
      </c>
      <c r="V151" t="s">
        <v>56</v>
      </c>
    </row>
    <row r="152" spans="1:22" x14ac:dyDescent="0.25">
      <c r="A152" t="s">
        <v>506</v>
      </c>
      <c r="B152" t="s">
        <v>20</v>
      </c>
      <c r="C152">
        <v>38</v>
      </c>
      <c r="D152" t="s">
        <v>21</v>
      </c>
      <c r="E152" t="s">
        <v>116</v>
      </c>
      <c r="F152" t="s">
        <v>507</v>
      </c>
      <c r="G152" t="str">
        <f>TEXT(Patient_Visits[[#This Row],[Visit_Date (Updated)]],"MM")</f>
        <v>11</v>
      </c>
      <c r="H152" t="str">
        <f>TEXT(Patient_Visits[[#This Row],[Visit_Date (Updated)]],"MMMM")</f>
        <v>November</v>
      </c>
      <c r="I152" t="s">
        <v>77</v>
      </c>
      <c r="J152" t="s">
        <v>37</v>
      </c>
      <c r="K152" t="s">
        <v>93</v>
      </c>
      <c r="L152" t="s">
        <v>99</v>
      </c>
      <c r="M152" t="s">
        <v>508</v>
      </c>
      <c r="N152">
        <v>82</v>
      </c>
      <c r="O152">
        <v>37.200000000000003</v>
      </c>
      <c r="P152">
        <v>46.5</v>
      </c>
      <c r="Q152">
        <v>188</v>
      </c>
      <c r="R152">
        <v>13.2</v>
      </c>
      <c r="S152" t="s">
        <v>73</v>
      </c>
      <c r="T152">
        <v>20981</v>
      </c>
      <c r="U152" t="s">
        <v>30</v>
      </c>
      <c r="V152" t="s">
        <v>31</v>
      </c>
    </row>
    <row r="153" spans="1:22" x14ac:dyDescent="0.25">
      <c r="A153" t="s">
        <v>509</v>
      </c>
      <c r="B153" t="s">
        <v>33</v>
      </c>
      <c r="C153">
        <v>66</v>
      </c>
      <c r="D153" t="s">
        <v>21</v>
      </c>
      <c r="E153" t="s">
        <v>34</v>
      </c>
      <c r="F153" t="s">
        <v>510</v>
      </c>
      <c r="G153" t="str">
        <f>TEXT(Patient_Visits[[#This Row],[Visit_Date (Updated)]],"MM")</f>
        <v>01</v>
      </c>
      <c r="H153" t="str">
        <f>TEXT(Patient_Visits[[#This Row],[Visit_Date (Updated)]],"MMMM")</f>
        <v>January</v>
      </c>
      <c r="I153" t="s">
        <v>52</v>
      </c>
      <c r="J153" t="s">
        <v>70</v>
      </c>
      <c r="K153" t="s">
        <v>84</v>
      </c>
      <c r="L153" t="s">
        <v>63</v>
      </c>
      <c r="M153" t="s">
        <v>511</v>
      </c>
      <c r="N153">
        <v>105</v>
      </c>
      <c r="O153">
        <v>36.5</v>
      </c>
      <c r="P153">
        <v>79.400000000000006</v>
      </c>
      <c r="Q153">
        <v>169</v>
      </c>
      <c r="R153">
        <v>27.8</v>
      </c>
      <c r="S153" t="s">
        <v>29</v>
      </c>
      <c r="T153">
        <v>74861</v>
      </c>
      <c r="U153" t="s">
        <v>48</v>
      </c>
      <c r="V153" t="s">
        <v>56</v>
      </c>
    </row>
    <row r="154" spans="1:22" x14ac:dyDescent="0.25">
      <c r="A154" t="s">
        <v>512</v>
      </c>
      <c r="B154" t="s">
        <v>43</v>
      </c>
      <c r="C154">
        <v>24</v>
      </c>
      <c r="D154" t="s">
        <v>67</v>
      </c>
      <c r="E154" t="s">
        <v>22</v>
      </c>
      <c r="F154" t="s">
        <v>297</v>
      </c>
      <c r="G154" t="str">
        <f>TEXT(Patient_Visits[[#This Row],[Visit_Date (Updated)]],"MM")</f>
        <v>04</v>
      </c>
      <c r="H154" t="str">
        <f>TEXT(Patient_Visits[[#This Row],[Visit_Date (Updated)]],"MMMM")</f>
        <v>April</v>
      </c>
      <c r="I154" t="s">
        <v>24</v>
      </c>
      <c r="J154" t="s">
        <v>53</v>
      </c>
      <c r="K154" t="s">
        <v>38</v>
      </c>
      <c r="L154" t="s">
        <v>63</v>
      </c>
      <c r="M154" t="s">
        <v>513</v>
      </c>
      <c r="N154">
        <v>62</v>
      </c>
      <c r="O154">
        <v>36.200000000000003</v>
      </c>
      <c r="P154">
        <v>59.7</v>
      </c>
      <c r="Q154">
        <v>160</v>
      </c>
      <c r="R154">
        <v>23.3</v>
      </c>
      <c r="S154" t="s">
        <v>29</v>
      </c>
      <c r="T154">
        <v>94963</v>
      </c>
      <c r="U154" t="s">
        <v>48</v>
      </c>
      <c r="V154" t="s">
        <v>31</v>
      </c>
    </row>
    <row r="155" spans="1:22" x14ac:dyDescent="0.25">
      <c r="A155" t="s">
        <v>514</v>
      </c>
      <c r="B155" t="s">
        <v>50</v>
      </c>
      <c r="C155">
        <v>19</v>
      </c>
      <c r="D155" t="s">
        <v>21</v>
      </c>
      <c r="E155" t="s">
        <v>132</v>
      </c>
      <c r="F155" t="s">
        <v>515</v>
      </c>
      <c r="G155" t="str">
        <f>TEXT(Patient_Visits[[#This Row],[Visit_Date (Updated)]],"MM")</f>
        <v>08</v>
      </c>
      <c r="H155" t="str">
        <f>TEXT(Patient_Visits[[#This Row],[Visit_Date (Updated)]],"MMMM")</f>
        <v>August</v>
      </c>
      <c r="I155" t="s">
        <v>83</v>
      </c>
      <c r="J155" t="s">
        <v>37</v>
      </c>
      <c r="K155" t="s">
        <v>71</v>
      </c>
      <c r="L155" t="s">
        <v>63</v>
      </c>
      <c r="M155" t="s">
        <v>516</v>
      </c>
      <c r="N155">
        <v>64</v>
      </c>
      <c r="O155">
        <v>36.200000000000003</v>
      </c>
      <c r="P155">
        <v>72.8</v>
      </c>
      <c r="Q155">
        <v>179</v>
      </c>
      <c r="R155">
        <v>22.7</v>
      </c>
      <c r="S155" t="s">
        <v>29</v>
      </c>
      <c r="T155">
        <v>100948</v>
      </c>
      <c r="U155" t="s">
        <v>74</v>
      </c>
      <c r="V155" t="s">
        <v>31</v>
      </c>
    </row>
    <row r="156" spans="1:22" x14ac:dyDescent="0.25">
      <c r="A156" t="s">
        <v>517</v>
      </c>
      <c r="B156" t="s">
        <v>58</v>
      </c>
      <c r="C156">
        <v>38</v>
      </c>
      <c r="D156" t="s">
        <v>21</v>
      </c>
      <c r="E156" t="s">
        <v>68</v>
      </c>
      <c r="F156" t="s">
        <v>518</v>
      </c>
      <c r="G156" t="str">
        <f>TEXT(Patient_Visits[[#This Row],[Visit_Date (Updated)]],"MM")</f>
        <v>08</v>
      </c>
      <c r="H156" t="str">
        <f>TEXT(Patient_Visits[[#This Row],[Visit_Date (Updated)]],"MMMM")</f>
        <v>August</v>
      </c>
      <c r="I156" t="s">
        <v>83</v>
      </c>
      <c r="J156" t="s">
        <v>141</v>
      </c>
      <c r="K156" t="s">
        <v>26</v>
      </c>
      <c r="L156" t="s">
        <v>63</v>
      </c>
      <c r="M156" t="s">
        <v>519</v>
      </c>
      <c r="N156">
        <v>65</v>
      </c>
      <c r="O156">
        <v>38.299999999999997</v>
      </c>
      <c r="P156">
        <v>83.9</v>
      </c>
      <c r="Q156">
        <v>189</v>
      </c>
      <c r="R156">
        <v>23.5</v>
      </c>
      <c r="S156" t="s">
        <v>73</v>
      </c>
      <c r="T156">
        <v>88599</v>
      </c>
      <c r="U156" t="s">
        <v>30</v>
      </c>
      <c r="V156" t="s">
        <v>56</v>
      </c>
    </row>
    <row r="157" spans="1:22" x14ac:dyDescent="0.25">
      <c r="A157" t="s">
        <v>520</v>
      </c>
      <c r="B157" t="s">
        <v>66</v>
      </c>
      <c r="C157">
        <v>22</v>
      </c>
      <c r="D157" t="s">
        <v>21</v>
      </c>
      <c r="E157" t="s">
        <v>60</v>
      </c>
      <c r="F157" t="s">
        <v>521</v>
      </c>
      <c r="G157" t="str">
        <f>TEXT(Patient_Visits[[#This Row],[Visit_Date (Updated)]],"MM")</f>
        <v>07</v>
      </c>
      <c r="H157" t="str">
        <f>TEXT(Patient_Visits[[#This Row],[Visit_Date (Updated)]],"MMMM")</f>
        <v>July</v>
      </c>
      <c r="I157" t="s">
        <v>77</v>
      </c>
      <c r="J157" t="s">
        <v>53</v>
      </c>
      <c r="K157" t="s">
        <v>71</v>
      </c>
      <c r="L157" t="s">
        <v>99</v>
      </c>
      <c r="M157" t="s">
        <v>522</v>
      </c>
      <c r="N157">
        <v>66</v>
      </c>
      <c r="O157">
        <v>38.700000000000003</v>
      </c>
      <c r="P157">
        <v>98.1</v>
      </c>
      <c r="Q157">
        <v>187</v>
      </c>
      <c r="R157">
        <v>28.1</v>
      </c>
      <c r="S157" t="s">
        <v>73</v>
      </c>
      <c r="T157">
        <v>52725</v>
      </c>
      <c r="U157" t="s">
        <v>30</v>
      </c>
      <c r="V157" t="s">
        <v>31</v>
      </c>
    </row>
    <row r="158" spans="1:22" x14ac:dyDescent="0.25">
      <c r="A158" t="s">
        <v>523</v>
      </c>
      <c r="B158" t="s">
        <v>76</v>
      </c>
      <c r="C158">
        <v>45</v>
      </c>
      <c r="D158" t="s">
        <v>21</v>
      </c>
      <c r="E158" t="s">
        <v>132</v>
      </c>
      <c r="F158" t="s">
        <v>524</v>
      </c>
      <c r="G158" t="str">
        <f>TEXT(Patient_Visits[[#This Row],[Visit_Date (Updated)]],"MM")</f>
        <v>03</v>
      </c>
      <c r="H158" t="str">
        <f>TEXT(Patient_Visits[[#This Row],[Visit_Date (Updated)]],"MMMM")</f>
        <v>March</v>
      </c>
      <c r="I158" t="s">
        <v>52</v>
      </c>
      <c r="J158" t="s">
        <v>53</v>
      </c>
      <c r="K158" t="s">
        <v>93</v>
      </c>
      <c r="L158" t="s">
        <v>99</v>
      </c>
      <c r="M158" t="s">
        <v>525</v>
      </c>
      <c r="N158">
        <v>66</v>
      </c>
      <c r="O158">
        <v>38</v>
      </c>
      <c r="P158">
        <v>84</v>
      </c>
      <c r="Q158">
        <v>173</v>
      </c>
      <c r="R158">
        <v>28.1</v>
      </c>
      <c r="S158" t="s">
        <v>29</v>
      </c>
      <c r="T158">
        <v>31369</v>
      </c>
      <c r="U158" t="s">
        <v>48</v>
      </c>
      <c r="V158" t="s">
        <v>31</v>
      </c>
    </row>
    <row r="159" spans="1:22" x14ac:dyDescent="0.25">
      <c r="A159" t="s">
        <v>526</v>
      </c>
      <c r="B159" t="s">
        <v>81</v>
      </c>
      <c r="C159">
        <v>68</v>
      </c>
      <c r="D159" t="s">
        <v>21</v>
      </c>
      <c r="E159" t="s">
        <v>139</v>
      </c>
      <c r="F159" t="s">
        <v>527</v>
      </c>
      <c r="G159" t="str">
        <f>TEXT(Patient_Visits[[#This Row],[Visit_Date (Updated)]],"MM")</f>
        <v>11</v>
      </c>
      <c r="H159" t="str">
        <f>TEXT(Patient_Visits[[#This Row],[Visit_Date (Updated)]],"MMMM")</f>
        <v>November</v>
      </c>
      <c r="I159" t="s">
        <v>52</v>
      </c>
      <c r="J159" t="s">
        <v>25</v>
      </c>
      <c r="K159" t="s">
        <v>84</v>
      </c>
      <c r="L159" t="s">
        <v>99</v>
      </c>
      <c r="M159" t="s">
        <v>528</v>
      </c>
      <c r="N159">
        <v>88</v>
      </c>
      <c r="O159">
        <v>38.200000000000003</v>
      </c>
      <c r="P159">
        <v>68.099999999999994</v>
      </c>
      <c r="Q159">
        <v>150</v>
      </c>
      <c r="R159">
        <v>30.3</v>
      </c>
      <c r="S159" t="s">
        <v>55</v>
      </c>
      <c r="T159">
        <v>65836</v>
      </c>
      <c r="U159" t="s">
        <v>30</v>
      </c>
      <c r="V159" t="s">
        <v>56</v>
      </c>
    </row>
    <row r="160" spans="1:22" x14ac:dyDescent="0.25">
      <c r="A160" t="s">
        <v>529</v>
      </c>
      <c r="B160" t="s">
        <v>87</v>
      </c>
      <c r="C160">
        <v>52</v>
      </c>
      <c r="D160" t="s">
        <v>21</v>
      </c>
      <c r="E160" t="s">
        <v>60</v>
      </c>
      <c r="F160" t="s">
        <v>213</v>
      </c>
      <c r="G160" t="str">
        <f>TEXT(Patient_Visits[[#This Row],[Visit_Date (Updated)]],"MM")</f>
        <v>11</v>
      </c>
      <c r="H160" t="str">
        <f>TEXT(Patient_Visits[[#This Row],[Visit_Date (Updated)]],"MMMM")</f>
        <v>November</v>
      </c>
      <c r="I160" t="s">
        <v>52</v>
      </c>
      <c r="J160" t="s">
        <v>70</v>
      </c>
      <c r="K160" t="s">
        <v>84</v>
      </c>
      <c r="L160" t="s">
        <v>63</v>
      </c>
      <c r="M160" t="s">
        <v>530</v>
      </c>
      <c r="N160">
        <v>92</v>
      </c>
      <c r="O160">
        <v>38.5</v>
      </c>
      <c r="P160">
        <v>102.3</v>
      </c>
      <c r="Q160">
        <v>152</v>
      </c>
      <c r="R160">
        <v>44.3</v>
      </c>
      <c r="S160" t="s">
        <v>55</v>
      </c>
      <c r="T160">
        <v>4153</v>
      </c>
      <c r="U160" t="s">
        <v>74</v>
      </c>
      <c r="V160" t="s">
        <v>56</v>
      </c>
    </row>
    <row r="161" spans="1:22" x14ac:dyDescent="0.25">
      <c r="A161" t="s">
        <v>531</v>
      </c>
      <c r="B161" t="s">
        <v>267</v>
      </c>
      <c r="C161">
        <v>26</v>
      </c>
      <c r="D161" t="s">
        <v>67</v>
      </c>
      <c r="E161" t="s">
        <v>139</v>
      </c>
      <c r="F161" t="s">
        <v>532</v>
      </c>
      <c r="G161" t="str">
        <f>TEXT(Patient_Visits[[#This Row],[Visit_Date (Updated)]],"MM")</f>
        <v>01</v>
      </c>
      <c r="H161" t="str">
        <f>TEXT(Patient_Visits[[#This Row],[Visit_Date (Updated)]],"MMMM")</f>
        <v>January</v>
      </c>
      <c r="I161" t="s">
        <v>83</v>
      </c>
      <c r="J161" t="s">
        <v>37</v>
      </c>
      <c r="K161" t="s">
        <v>71</v>
      </c>
      <c r="L161" t="s">
        <v>99</v>
      </c>
      <c r="M161" t="s">
        <v>533</v>
      </c>
      <c r="N161">
        <v>94</v>
      </c>
      <c r="O161">
        <v>37.1</v>
      </c>
      <c r="P161">
        <v>72.2</v>
      </c>
      <c r="Q161">
        <v>182</v>
      </c>
      <c r="R161">
        <v>21.8</v>
      </c>
      <c r="S161" t="s">
        <v>41</v>
      </c>
      <c r="T161">
        <v>55607</v>
      </c>
      <c r="U161" t="s">
        <v>74</v>
      </c>
      <c r="V161" t="s">
        <v>56</v>
      </c>
    </row>
    <row r="162" spans="1:22" x14ac:dyDescent="0.25">
      <c r="A162" t="s">
        <v>534</v>
      </c>
      <c r="B162" t="s">
        <v>92</v>
      </c>
      <c r="C162">
        <v>12</v>
      </c>
      <c r="D162" t="s">
        <v>67</v>
      </c>
      <c r="E162" t="s">
        <v>139</v>
      </c>
      <c r="F162" t="s">
        <v>392</v>
      </c>
      <c r="G162" t="str">
        <f>TEXT(Patient_Visits[[#This Row],[Visit_Date (Updated)]],"MM")</f>
        <v>10</v>
      </c>
      <c r="H162" t="str">
        <f>TEXT(Patient_Visits[[#This Row],[Visit_Date (Updated)]],"MMMM")</f>
        <v>October</v>
      </c>
      <c r="I162" t="s">
        <v>52</v>
      </c>
      <c r="J162" t="s">
        <v>70</v>
      </c>
      <c r="K162" t="s">
        <v>71</v>
      </c>
      <c r="L162" t="s">
        <v>39</v>
      </c>
      <c r="M162" t="s">
        <v>535</v>
      </c>
      <c r="N162">
        <v>81</v>
      </c>
      <c r="O162">
        <v>37.9</v>
      </c>
      <c r="P162">
        <v>84.4</v>
      </c>
      <c r="Q162">
        <v>160</v>
      </c>
      <c r="R162">
        <v>33</v>
      </c>
      <c r="S162" t="s">
        <v>41</v>
      </c>
      <c r="T162">
        <v>91956</v>
      </c>
      <c r="U162" t="s">
        <v>74</v>
      </c>
      <c r="V162" t="s">
        <v>31</v>
      </c>
    </row>
    <row r="163" spans="1:22" x14ac:dyDescent="0.25">
      <c r="A163" t="s">
        <v>536</v>
      </c>
      <c r="B163" t="s">
        <v>95</v>
      </c>
      <c r="C163">
        <v>15</v>
      </c>
      <c r="D163" t="s">
        <v>21</v>
      </c>
      <c r="E163" t="s">
        <v>132</v>
      </c>
      <c r="F163" t="s">
        <v>537</v>
      </c>
      <c r="G163" t="str">
        <f>TEXT(Patient_Visits[[#This Row],[Visit_Date (Updated)]],"MM")</f>
        <v>10</v>
      </c>
      <c r="H163" t="str">
        <f>TEXT(Patient_Visits[[#This Row],[Visit_Date (Updated)]],"MMMM")</f>
        <v>October</v>
      </c>
      <c r="I163" t="s">
        <v>52</v>
      </c>
      <c r="J163" t="s">
        <v>70</v>
      </c>
      <c r="K163" t="s">
        <v>71</v>
      </c>
      <c r="L163" t="s">
        <v>99</v>
      </c>
      <c r="M163" t="s">
        <v>538</v>
      </c>
      <c r="N163">
        <v>76</v>
      </c>
      <c r="O163">
        <v>36.4</v>
      </c>
      <c r="P163">
        <v>52.6</v>
      </c>
      <c r="Q163">
        <v>160</v>
      </c>
      <c r="R163">
        <v>20.5</v>
      </c>
      <c r="S163" t="s">
        <v>47</v>
      </c>
      <c r="T163">
        <v>101283</v>
      </c>
      <c r="U163" t="s">
        <v>30</v>
      </c>
      <c r="V163" t="s">
        <v>56</v>
      </c>
    </row>
    <row r="164" spans="1:22" x14ac:dyDescent="0.25">
      <c r="A164" t="s">
        <v>539</v>
      </c>
      <c r="B164" t="s">
        <v>102</v>
      </c>
      <c r="C164">
        <v>37</v>
      </c>
      <c r="D164" t="s">
        <v>21</v>
      </c>
      <c r="E164" t="s">
        <v>34</v>
      </c>
      <c r="F164" t="s">
        <v>540</v>
      </c>
      <c r="G164" t="str">
        <f>TEXT(Patient_Visits[[#This Row],[Visit_Date (Updated)]],"MM")</f>
        <v>09</v>
      </c>
      <c r="H164" t="str">
        <f>TEXT(Patient_Visits[[#This Row],[Visit_Date (Updated)]],"MMMM")</f>
        <v>September</v>
      </c>
      <c r="I164" t="s">
        <v>36</v>
      </c>
      <c r="J164" t="s">
        <v>53</v>
      </c>
      <c r="K164" t="s">
        <v>89</v>
      </c>
      <c r="L164" t="s">
        <v>99</v>
      </c>
      <c r="M164" t="s">
        <v>541</v>
      </c>
      <c r="N164">
        <v>74</v>
      </c>
      <c r="O164">
        <v>37.9</v>
      </c>
      <c r="P164">
        <v>88.8</v>
      </c>
      <c r="Q164">
        <v>180</v>
      </c>
      <c r="R164">
        <v>27.4</v>
      </c>
      <c r="S164" t="s">
        <v>47</v>
      </c>
      <c r="T164">
        <v>77299</v>
      </c>
      <c r="U164" t="s">
        <v>30</v>
      </c>
      <c r="V164" t="s">
        <v>31</v>
      </c>
    </row>
    <row r="165" spans="1:22" x14ac:dyDescent="0.25">
      <c r="A165" t="s">
        <v>542</v>
      </c>
      <c r="B165" t="s">
        <v>106</v>
      </c>
      <c r="C165">
        <v>14</v>
      </c>
      <c r="D165" t="s">
        <v>67</v>
      </c>
      <c r="E165" t="s">
        <v>116</v>
      </c>
      <c r="F165" t="s">
        <v>543</v>
      </c>
      <c r="G165" t="str">
        <f>TEXT(Patient_Visits[[#This Row],[Visit_Date (Updated)]],"MM")</f>
        <v>09</v>
      </c>
      <c r="H165" t="str">
        <f>TEXT(Patient_Visits[[#This Row],[Visit_Date (Updated)]],"MMMM")</f>
        <v>September</v>
      </c>
      <c r="I165" t="s">
        <v>52</v>
      </c>
      <c r="J165" t="s">
        <v>37</v>
      </c>
      <c r="K165" t="s">
        <v>45</v>
      </c>
      <c r="L165" t="s">
        <v>27</v>
      </c>
      <c r="M165" t="s">
        <v>544</v>
      </c>
      <c r="N165">
        <v>94</v>
      </c>
      <c r="O165">
        <v>36.6</v>
      </c>
      <c r="P165">
        <v>107.2</v>
      </c>
      <c r="Q165">
        <v>184</v>
      </c>
      <c r="R165">
        <v>31.7</v>
      </c>
      <c r="S165" t="s">
        <v>55</v>
      </c>
      <c r="T165">
        <v>104578</v>
      </c>
      <c r="U165" t="s">
        <v>30</v>
      </c>
      <c r="V165" t="s">
        <v>56</v>
      </c>
    </row>
    <row r="166" spans="1:22" x14ac:dyDescent="0.25">
      <c r="A166" t="s">
        <v>545</v>
      </c>
      <c r="B166" t="s">
        <v>111</v>
      </c>
      <c r="C166">
        <v>52</v>
      </c>
      <c r="D166" t="s">
        <v>21</v>
      </c>
      <c r="E166" t="s">
        <v>22</v>
      </c>
      <c r="F166" t="s">
        <v>546</v>
      </c>
      <c r="G166" t="str">
        <f>TEXT(Patient_Visits[[#This Row],[Visit_Date (Updated)]],"MM")</f>
        <v>05</v>
      </c>
      <c r="H166" t="str">
        <f>TEXT(Patient_Visits[[#This Row],[Visit_Date (Updated)]],"MMMM")</f>
        <v>May</v>
      </c>
      <c r="I166" t="s">
        <v>24</v>
      </c>
      <c r="J166" t="s">
        <v>53</v>
      </c>
      <c r="K166" t="s">
        <v>38</v>
      </c>
      <c r="L166" t="s">
        <v>27</v>
      </c>
      <c r="M166" t="s">
        <v>547</v>
      </c>
      <c r="N166">
        <v>79</v>
      </c>
      <c r="O166">
        <v>36.4</v>
      </c>
      <c r="P166">
        <v>49.5</v>
      </c>
      <c r="Q166">
        <v>153</v>
      </c>
      <c r="R166">
        <v>21.1</v>
      </c>
      <c r="S166" t="s">
        <v>47</v>
      </c>
      <c r="T166">
        <v>117311</v>
      </c>
      <c r="U166" t="s">
        <v>30</v>
      </c>
      <c r="V166" t="s">
        <v>56</v>
      </c>
    </row>
    <row r="167" spans="1:22" x14ac:dyDescent="0.25">
      <c r="A167" t="s">
        <v>548</v>
      </c>
      <c r="B167" t="s">
        <v>172</v>
      </c>
      <c r="C167">
        <v>50</v>
      </c>
      <c r="D167" t="s">
        <v>21</v>
      </c>
      <c r="E167" t="s">
        <v>132</v>
      </c>
      <c r="F167" t="s">
        <v>504</v>
      </c>
      <c r="G167" t="str">
        <f>TEXT(Patient_Visits[[#This Row],[Visit_Date (Updated)]],"MM")</f>
        <v>06</v>
      </c>
      <c r="H167" t="str">
        <f>TEXT(Patient_Visits[[#This Row],[Visit_Date (Updated)]],"MMMM")</f>
        <v>June</v>
      </c>
      <c r="I167" t="s">
        <v>36</v>
      </c>
      <c r="J167" t="s">
        <v>25</v>
      </c>
      <c r="K167" t="s">
        <v>93</v>
      </c>
      <c r="L167" t="s">
        <v>27</v>
      </c>
      <c r="M167" t="s">
        <v>549</v>
      </c>
      <c r="N167">
        <v>92</v>
      </c>
      <c r="O167">
        <v>38.6</v>
      </c>
      <c r="P167">
        <v>106.4</v>
      </c>
      <c r="Q167">
        <v>179</v>
      </c>
      <c r="R167">
        <v>33.200000000000003</v>
      </c>
      <c r="S167" t="s">
        <v>29</v>
      </c>
      <c r="T167">
        <v>110026</v>
      </c>
      <c r="U167" t="s">
        <v>74</v>
      </c>
      <c r="V167" t="s">
        <v>31</v>
      </c>
    </row>
    <row r="168" spans="1:22" x14ac:dyDescent="0.25">
      <c r="A168" t="s">
        <v>550</v>
      </c>
      <c r="B168" t="s">
        <v>176</v>
      </c>
      <c r="C168">
        <v>17</v>
      </c>
      <c r="D168" t="s">
        <v>67</v>
      </c>
      <c r="E168" t="s">
        <v>132</v>
      </c>
      <c r="F168" t="s">
        <v>527</v>
      </c>
      <c r="G168" t="str">
        <f>TEXT(Patient_Visits[[#This Row],[Visit_Date (Updated)]],"MM")</f>
        <v>11</v>
      </c>
      <c r="H168" t="str">
        <f>TEXT(Patient_Visits[[#This Row],[Visit_Date (Updated)]],"MMMM")</f>
        <v>November</v>
      </c>
      <c r="I168" t="s">
        <v>24</v>
      </c>
      <c r="J168" t="s">
        <v>25</v>
      </c>
      <c r="K168" t="s">
        <v>108</v>
      </c>
      <c r="L168" t="s">
        <v>63</v>
      </c>
      <c r="M168" t="s">
        <v>551</v>
      </c>
      <c r="N168">
        <v>104</v>
      </c>
      <c r="O168">
        <v>37.6</v>
      </c>
      <c r="P168">
        <v>98.7</v>
      </c>
      <c r="Q168">
        <v>185</v>
      </c>
      <c r="R168">
        <v>28.8</v>
      </c>
      <c r="S168" t="s">
        <v>55</v>
      </c>
      <c r="T168">
        <v>17886</v>
      </c>
      <c r="U168" t="s">
        <v>30</v>
      </c>
      <c r="V168" t="s">
        <v>31</v>
      </c>
    </row>
    <row r="169" spans="1:22" x14ac:dyDescent="0.25">
      <c r="A169" t="s">
        <v>552</v>
      </c>
      <c r="B169" t="s">
        <v>115</v>
      </c>
      <c r="C169">
        <v>19</v>
      </c>
      <c r="D169" t="s">
        <v>21</v>
      </c>
      <c r="E169" t="s">
        <v>139</v>
      </c>
      <c r="F169" t="s">
        <v>553</v>
      </c>
      <c r="G169" t="str">
        <f>TEXT(Patient_Visits[[#This Row],[Visit_Date (Updated)]],"MM")</f>
        <v>04</v>
      </c>
      <c r="H169" t="str">
        <f>TEXT(Patient_Visits[[#This Row],[Visit_Date (Updated)]],"MMMM")</f>
        <v>April</v>
      </c>
      <c r="I169" t="s">
        <v>77</v>
      </c>
      <c r="J169" t="s">
        <v>37</v>
      </c>
      <c r="K169" t="s">
        <v>93</v>
      </c>
      <c r="L169" t="s">
        <v>39</v>
      </c>
      <c r="M169" t="s">
        <v>554</v>
      </c>
      <c r="N169">
        <v>94</v>
      </c>
      <c r="O169">
        <v>39.5</v>
      </c>
      <c r="P169">
        <v>93.3</v>
      </c>
      <c r="Q169">
        <v>165</v>
      </c>
      <c r="R169">
        <v>34.299999999999997</v>
      </c>
      <c r="S169" t="s">
        <v>55</v>
      </c>
      <c r="T169">
        <v>4808</v>
      </c>
      <c r="U169" t="s">
        <v>30</v>
      </c>
      <c r="V169" t="s">
        <v>31</v>
      </c>
    </row>
    <row r="170" spans="1:22" x14ac:dyDescent="0.25">
      <c r="A170" t="s">
        <v>555</v>
      </c>
      <c r="B170" t="s">
        <v>121</v>
      </c>
      <c r="C170">
        <v>24</v>
      </c>
      <c r="D170" t="s">
        <v>67</v>
      </c>
      <c r="E170" t="s">
        <v>68</v>
      </c>
      <c r="F170" t="s">
        <v>556</v>
      </c>
      <c r="G170" t="str">
        <f>TEXT(Patient_Visits[[#This Row],[Visit_Date (Updated)]],"MM")</f>
        <v>01</v>
      </c>
      <c r="H170" t="str">
        <f>TEXT(Patient_Visits[[#This Row],[Visit_Date (Updated)]],"MMMM")</f>
        <v>January</v>
      </c>
      <c r="I170" t="s">
        <v>24</v>
      </c>
      <c r="J170" t="s">
        <v>25</v>
      </c>
      <c r="K170" t="s">
        <v>84</v>
      </c>
      <c r="L170" t="s">
        <v>39</v>
      </c>
      <c r="M170" t="s">
        <v>557</v>
      </c>
      <c r="N170">
        <v>104</v>
      </c>
      <c r="O170">
        <v>39</v>
      </c>
      <c r="P170">
        <v>67.5</v>
      </c>
      <c r="Q170">
        <v>187</v>
      </c>
      <c r="R170">
        <v>19.3</v>
      </c>
      <c r="S170" t="s">
        <v>47</v>
      </c>
      <c r="T170">
        <v>12946</v>
      </c>
      <c r="U170" t="s">
        <v>48</v>
      </c>
      <c r="V170" t="s">
        <v>31</v>
      </c>
    </row>
    <row r="171" spans="1:22" x14ac:dyDescent="0.25">
      <c r="A171" t="s">
        <v>558</v>
      </c>
      <c r="B171" t="s">
        <v>125</v>
      </c>
      <c r="C171">
        <v>72</v>
      </c>
      <c r="D171" t="s">
        <v>21</v>
      </c>
      <c r="E171" t="s">
        <v>139</v>
      </c>
      <c r="F171" t="s">
        <v>559</v>
      </c>
      <c r="G171" t="str">
        <f>TEXT(Patient_Visits[[#This Row],[Visit_Date (Updated)]],"MM")</f>
        <v>03</v>
      </c>
      <c r="H171" t="str">
        <f>TEXT(Patient_Visits[[#This Row],[Visit_Date (Updated)]],"MMMM")</f>
        <v>March</v>
      </c>
      <c r="I171" t="s">
        <v>52</v>
      </c>
      <c r="J171" t="s">
        <v>37</v>
      </c>
      <c r="K171" t="s">
        <v>38</v>
      </c>
      <c r="L171" t="s">
        <v>99</v>
      </c>
      <c r="M171" t="s">
        <v>560</v>
      </c>
      <c r="N171">
        <v>106</v>
      </c>
      <c r="O171">
        <v>37.6</v>
      </c>
      <c r="P171">
        <v>80.400000000000006</v>
      </c>
      <c r="Q171">
        <v>172</v>
      </c>
      <c r="R171">
        <v>27.2</v>
      </c>
      <c r="S171" t="s">
        <v>73</v>
      </c>
      <c r="T171">
        <v>44203</v>
      </c>
      <c r="U171" t="s">
        <v>30</v>
      </c>
      <c r="V171" t="s">
        <v>31</v>
      </c>
    </row>
    <row r="172" spans="1:22" x14ac:dyDescent="0.25">
      <c r="A172" t="s">
        <v>561</v>
      </c>
      <c r="B172" t="s">
        <v>20</v>
      </c>
      <c r="C172">
        <v>66</v>
      </c>
      <c r="D172" t="s">
        <v>67</v>
      </c>
      <c r="E172" t="s">
        <v>34</v>
      </c>
      <c r="F172" t="s">
        <v>562</v>
      </c>
      <c r="G172" t="str">
        <f>TEXT(Patient_Visits[[#This Row],[Visit_Date (Updated)]],"MM")</f>
        <v>01</v>
      </c>
      <c r="H172" t="str">
        <f>TEXT(Patient_Visits[[#This Row],[Visit_Date (Updated)]],"MMMM")</f>
        <v>January</v>
      </c>
      <c r="I172" t="s">
        <v>77</v>
      </c>
      <c r="J172" t="s">
        <v>70</v>
      </c>
      <c r="K172" t="s">
        <v>62</v>
      </c>
      <c r="L172" t="s">
        <v>27</v>
      </c>
      <c r="M172" t="s">
        <v>376</v>
      </c>
      <c r="N172">
        <v>77</v>
      </c>
      <c r="O172">
        <v>37.299999999999997</v>
      </c>
      <c r="P172">
        <v>44.4</v>
      </c>
      <c r="Q172">
        <v>164</v>
      </c>
      <c r="R172">
        <v>16.5</v>
      </c>
      <c r="S172" t="s">
        <v>73</v>
      </c>
      <c r="T172">
        <v>77574</v>
      </c>
      <c r="U172" t="s">
        <v>74</v>
      </c>
      <c r="V172" t="s">
        <v>56</v>
      </c>
    </row>
    <row r="173" spans="1:22" x14ac:dyDescent="0.25">
      <c r="A173" t="s">
        <v>563</v>
      </c>
      <c r="B173" t="s">
        <v>33</v>
      </c>
      <c r="C173">
        <v>9</v>
      </c>
      <c r="D173" t="s">
        <v>21</v>
      </c>
      <c r="E173" t="s">
        <v>34</v>
      </c>
      <c r="F173" t="s">
        <v>564</v>
      </c>
      <c r="G173" t="str">
        <f>TEXT(Patient_Visits[[#This Row],[Visit_Date (Updated)]],"MM")</f>
        <v>08</v>
      </c>
      <c r="H173" t="str">
        <f>TEXT(Patient_Visits[[#This Row],[Visit_Date (Updated)]],"MMMM")</f>
        <v>August</v>
      </c>
      <c r="I173" t="s">
        <v>36</v>
      </c>
      <c r="J173" t="s">
        <v>37</v>
      </c>
      <c r="K173" t="s">
        <v>45</v>
      </c>
      <c r="L173" t="s">
        <v>63</v>
      </c>
      <c r="M173" t="s">
        <v>565</v>
      </c>
      <c r="N173">
        <v>110</v>
      </c>
      <c r="O173">
        <v>39.299999999999997</v>
      </c>
      <c r="P173">
        <v>87.7</v>
      </c>
      <c r="Q173">
        <v>167</v>
      </c>
      <c r="R173">
        <v>31.4</v>
      </c>
      <c r="S173" t="s">
        <v>73</v>
      </c>
      <c r="T173">
        <v>99931</v>
      </c>
      <c r="U173" t="s">
        <v>48</v>
      </c>
      <c r="V173" t="s">
        <v>56</v>
      </c>
    </row>
    <row r="174" spans="1:22" x14ac:dyDescent="0.25">
      <c r="A174" t="s">
        <v>566</v>
      </c>
      <c r="B174" t="s">
        <v>43</v>
      </c>
      <c r="C174">
        <v>49</v>
      </c>
      <c r="D174" t="s">
        <v>67</v>
      </c>
      <c r="E174" t="s">
        <v>132</v>
      </c>
      <c r="F174" t="s">
        <v>567</v>
      </c>
      <c r="G174" t="str">
        <f>TEXT(Patient_Visits[[#This Row],[Visit_Date (Updated)]],"MM")</f>
        <v>01</v>
      </c>
      <c r="H174" t="str">
        <f>TEXT(Patient_Visits[[#This Row],[Visit_Date (Updated)]],"MMMM")</f>
        <v>January</v>
      </c>
      <c r="I174" t="s">
        <v>36</v>
      </c>
      <c r="J174" t="s">
        <v>53</v>
      </c>
      <c r="K174" t="s">
        <v>71</v>
      </c>
      <c r="L174" t="s">
        <v>39</v>
      </c>
      <c r="M174" t="s">
        <v>568</v>
      </c>
      <c r="N174">
        <v>75</v>
      </c>
      <c r="O174">
        <v>38.799999999999997</v>
      </c>
      <c r="P174">
        <v>109.8</v>
      </c>
      <c r="Q174">
        <v>157</v>
      </c>
      <c r="R174">
        <v>44.5</v>
      </c>
      <c r="S174" t="s">
        <v>41</v>
      </c>
      <c r="T174">
        <v>29917</v>
      </c>
      <c r="U174" t="s">
        <v>30</v>
      </c>
      <c r="V174" t="s">
        <v>31</v>
      </c>
    </row>
    <row r="175" spans="1:22" x14ac:dyDescent="0.25">
      <c r="A175" t="s">
        <v>569</v>
      </c>
      <c r="B175" t="s">
        <v>50</v>
      </c>
      <c r="C175">
        <v>56</v>
      </c>
      <c r="D175" t="s">
        <v>67</v>
      </c>
      <c r="E175" t="s">
        <v>22</v>
      </c>
      <c r="F175" t="s">
        <v>570</v>
      </c>
      <c r="G175" t="str">
        <f>TEXT(Patient_Visits[[#This Row],[Visit_Date (Updated)]],"MM")</f>
        <v>10</v>
      </c>
      <c r="H175" t="str">
        <f>TEXT(Patient_Visits[[#This Row],[Visit_Date (Updated)]],"MMMM")</f>
        <v>October</v>
      </c>
      <c r="I175" t="s">
        <v>98</v>
      </c>
      <c r="J175" t="s">
        <v>141</v>
      </c>
      <c r="K175" t="s">
        <v>62</v>
      </c>
      <c r="L175" t="s">
        <v>27</v>
      </c>
      <c r="M175" t="s">
        <v>571</v>
      </c>
      <c r="N175">
        <v>106</v>
      </c>
      <c r="O175">
        <v>37.1</v>
      </c>
      <c r="P175">
        <v>90.9</v>
      </c>
      <c r="Q175">
        <v>183</v>
      </c>
      <c r="R175">
        <v>27.1</v>
      </c>
      <c r="S175" t="s">
        <v>73</v>
      </c>
      <c r="T175">
        <v>12633</v>
      </c>
      <c r="U175" t="s">
        <v>30</v>
      </c>
      <c r="V175" t="s">
        <v>56</v>
      </c>
    </row>
    <row r="176" spans="1:22" x14ac:dyDescent="0.25">
      <c r="A176" t="s">
        <v>572</v>
      </c>
      <c r="B176" t="s">
        <v>58</v>
      </c>
      <c r="C176">
        <v>27</v>
      </c>
      <c r="D176" t="s">
        <v>67</v>
      </c>
      <c r="E176" t="s">
        <v>132</v>
      </c>
      <c r="F176" t="s">
        <v>573</v>
      </c>
      <c r="G176" t="str">
        <f>TEXT(Patient_Visits[[#This Row],[Visit_Date (Updated)]],"MM")</f>
        <v>08</v>
      </c>
      <c r="H176" t="str">
        <f>TEXT(Patient_Visits[[#This Row],[Visit_Date (Updated)]],"MMMM")</f>
        <v>August</v>
      </c>
      <c r="I176" t="s">
        <v>98</v>
      </c>
      <c r="J176" t="s">
        <v>70</v>
      </c>
      <c r="K176" t="s">
        <v>45</v>
      </c>
      <c r="L176" t="s">
        <v>39</v>
      </c>
      <c r="M176" t="s">
        <v>574</v>
      </c>
      <c r="N176">
        <v>77</v>
      </c>
      <c r="O176">
        <v>39.1</v>
      </c>
      <c r="P176">
        <v>78.3</v>
      </c>
      <c r="Q176">
        <v>158</v>
      </c>
      <c r="R176">
        <v>31.4</v>
      </c>
      <c r="S176" t="s">
        <v>73</v>
      </c>
      <c r="T176">
        <v>34051</v>
      </c>
      <c r="U176" t="s">
        <v>74</v>
      </c>
      <c r="V176" t="s">
        <v>56</v>
      </c>
    </row>
    <row r="177" spans="1:22" x14ac:dyDescent="0.25">
      <c r="A177" t="s">
        <v>575</v>
      </c>
      <c r="B177" t="s">
        <v>66</v>
      </c>
      <c r="C177">
        <v>32</v>
      </c>
      <c r="D177" t="s">
        <v>21</v>
      </c>
      <c r="E177" t="s">
        <v>22</v>
      </c>
      <c r="F177" t="s">
        <v>576</v>
      </c>
      <c r="G177" t="str">
        <f>TEXT(Patient_Visits[[#This Row],[Visit_Date (Updated)]],"MM")</f>
        <v>08</v>
      </c>
      <c r="H177" t="str">
        <f>TEXT(Patient_Visits[[#This Row],[Visit_Date (Updated)]],"MMMM")</f>
        <v>August</v>
      </c>
      <c r="I177" t="s">
        <v>77</v>
      </c>
      <c r="J177" t="s">
        <v>37</v>
      </c>
      <c r="K177" t="s">
        <v>93</v>
      </c>
      <c r="L177" t="s">
        <v>27</v>
      </c>
      <c r="M177" t="s">
        <v>577</v>
      </c>
      <c r="N177">
        <v>106</v>
      </c>
      <c r="O177">
        <v>36.200000000000003</v>
      </c>
      <c r="P177">
        <v>49</v>
      </c>
      <c r="Q177">
        <v>151</v>
      </c>
      <c r="R177">
        <v>21.5</v>
      </c>
      <c r="S177" t="s">
        <v>29</v>
      </c>
      <c r="T177">
        <v>12626</v>
      </c>
      <c r="U177" t="s">
        <v>74</v>
      </c>
      <c r="V177" t="s">
        <v>31</v>
      </c>
    </row>
    <row r="178" spans="1:22" x14ac:dyDescent="0.25">
      <c r="A178" t="s">
        <v>578</v>
      </c>
      <c r="B178" t="s">
        <v>76</v>
      </c>
      <c r="C178">
        <v>22</v>
      </c>
      <c r="D178" t="s">
        <v>21</v>
      </c>
      <c r="E178" t="s">
        <v>34</v>
      </c>
      <c r="F178" t="s">
        <v>579</v>
      </c>
      <c r="G178" t="str">
        <f>TEXT(Patient_Visits[[#This Row],[Visit_Date (Updated)]],"MM")</f>
        <v>05</v>
      </c>
      <c r="H178" t="str">
        <f>TEXT(Patient_Visits[[#This Row],[Visit_Date (Updated)]],"MMMM")</f>
        <v>May</v>
      </c>
      <c r="I178" t="s">
        <v>52</v>
      </c>
      <c r="J178" t="s">
        <v>25</v>
      </c>
      <c r="K178" t="s">
        <v>71</v>
      </c>
      <c r="L178" t="s">
        <v>27</v>
      </c>
      <c r="M178" t="s">
        <v>580</v>
      </c>
      <c r="N178">
        <v>80</v>
      </c>
      <c r="O178">
        <v>39</v>
      </c>
      <c r="P178">
        <v>41.9</v>
      </c>
      <c r="Q178">
        <v>179</v>
      </c>
      <c r="R178">
        <v>13.1</v>
      </c>
      <c r="S178" t="s">
        <v>55</v>
      </c>
      <c r="T178">
        <v>82925</v>
      </c>
      <c r="U178" t="s">
        <v>74</v>
      </c>
      <c r="V178" t="s">
        <v>31</v>
      </c>
    </row>
    <row r="179" spans="1:22" x14ac:dyDescent="0.25">
      <c r="A179" t="s">
        <v>581</v>
      </c>
      <c r="B179" t="s">
        <v>81</v>
      </c>
      <c r="C179">
        <v>27</v>
      </c>
      <c r="D179" t="s">
        <v>21</v>
      </c>
      <c r="E179" t="s">
        <v>22</v>
      </c>
      <c r="F179" t="s">
        <v>582</v>
      </c>
      <c r="G179" t="str">
        <f>TEXT(Patient_Visits[[#This Row],[Visit_Date (Updated)]],"MM")</f>
        <v>01</v>
      </c>
      <c r="H179" t="str">
        <f>TEXT(Patient_Visits[[#This Row],[Visit_Date (Updated)]],"MMMM")</f>
        <v>January</v>
      </c>
      <c r="I179" t="s">
        <v>24</v>
      </c>
      <c r="J179" t="s">
        <v>37</v>
      </c>
      <c r="K179" t="s">
        <v>71</v>
      </c>
      <c r="L179" t="s">
        <v>39</v>
      </c>
      <c r="M179" t="s">
        <v>583</v>
      </c>
      <c r="N179">
        <v>89</v>
      </c>
      <c r="O179">
        <v>39.1</v>
      </c>
      <c r="P179">
        <v>41.8</v>
      </c>
      <c r="Q179">
        <v>168</v>
      </c>
      <c r="R179">
        <v>14.8</v>
      </c>
      <c r="S179" t="s">
        <v>47</v>
      </c>
      <c r="T179">
        <v>88733</v>
      </c>
      <c r="U179" t="s">
        <v>48</v>
      </c>
      <c r="V179" t="s">
        <v>56</v>
      </c>
    </row>
    <row r="180" spans="1:22" x14ac:dyDescent="0.25">
      <c r="A180" t="s">
        <v>584</v>
      </c>
      <c r="B180" t="s">
        <v>87</v>
      </c>
      <c r="C180">
        <v>58</v>
      </c>
      <c r="D180" t="s">
        <v>67</v>
      </c>
      <c r="E180" t="s">
        <v>116</v>
      </c>
      <c r="F180" t="s">
        <v>585</v>
      </c>
      <c r="G180" t="str">
        <f>TEXT(Patient_Visits[[#This Row],[Visit_Date (Updated)]],"MM")</f>
        <v>02</v>
      </c>
      <c r="H180" t="str">
        <f>TEXT(Patient_Visits[[#This Row],[Visit_Date (Updated)]],"MMMM")</f>
        <v>February</v>
      </c>
      <c r="I180" t="s">
        <v>24</v>
      </c>
      <c r="J180" t="s">
        <v>141</v>
      </c>
      <c r="K180" t="s">
        <v>108</v>
      </c>
      <c r="L180" t="s">
        <v>99</v>
      </c>
      <c r="M180" t="s">
        <v>586</v>
      </c>
      <c r="N180">
        <v>82</v>
      </c>
      <c r="O180">
        <v>38.799999999999997</v>
      </c>
      <c r="P180">
        <v>69.599999999999994</v>
      </c>
      <c r="Q180">
        <v>182</v>
      </c>
      <c r="R180">
        <v>21</v>
      </c>
      <c r="S180" t="s">
        <v>47</v>
      </c>
      <c r="T180">
        <v>116493</v>
      </c>
      <c r="U180" t="s">
        <v>74</v>
      </c>
      <c r="V180" t="s">
        <v>56</v>
      </c>
    </row>
    <row r="181" spans="1:22" x14ac:dyDescent="0.25">
      <c r="A181" t="s">
        <v>587</v>
      </c>
      <c r="B181" t="s">
        <v>267</v>
      </c>
      <c r="C181">
        <v>47</v>
      </c>
      <c r="D181" t="s">
        <v>21</v>
      </c>
      <c r="E181" t="s">
        <v>139</v>
      </c>
      <c r="F181" t="s">
        <v>588</v>
      </c>
      <c r="G181" t="str">
        <f>TEXT(Patient_Visits[[#This Row],[Visit_Date (Updated)]],"MM")</f>
        <v>12</v>
      </c>
      <c r="H181" t="str">
        <f>TEXT(Patient_Visits[[#This Row],[Visit_Date (Updated)]],"MMMM")</f>
        <v>December</v>
      </c>
      <c r="I181" t="s">
        <v>83</v>
      </c>
      <c r="J181" t="s">
        <v>25</v>
      </c>
      <c r="K181" t="s">
        <v>93</v>
      </c>
      <c r="L181" t="s">
        <v>39</v>
      </c>
      <c r="M181" t="s">
        <v>196</v>
      </c>
      <c r="N181">
        <v>93</v>
      </c>
      <c r="O181">
        <v>37.9</v>
      </c>
      <c r="P181">
        <v>59.2</v>
      </c>
      <c r="Q181">
        <v>164</v>
      </c>
      <c r="R181">
        <v>22</v>
      </c>
      <c r="S181" t="s">
        <v>29</v>
      </c>
      <c r="T181">
        <v>76155</v>
      </c>
      <c r="U181" t="s">
        <v>48</v>
      </c>
      <c r="V181" t="s">
        <v>56</v>
      </c>
    </row>
    <row r="182" spans="1:22" x14ac:dyDescent="0.25">
      <c r="A182" t="s">
        <v>589</v>
      </c>
      <c r="B182" t="s">
        <v>92</v>
      </c>
      <c r="C182">
        <v>51</v>
      </c>
      <c r="D182" t="s">
        <v>21</v>
      </c>
      <c r="E182" t="s">
        <v>34</v>
      </c>
      <c r="F182" t="s">
        <v>308</v>
      </c>
      <c r="G182" t="str">
        <f>TEXT(Patient_Visits[[#This Row],[Visit_Date (Updated)]],"MM")</f>
        <v>07</v>
      </c>
      <c r="H182" t="str">
        <f>TEXT(Patient_Visits[[#This Row],[Visit_Date (Updated)]],"MMMM")</f>
        <v>July</v>
      </c>
      <c r="I182" t="s">
        <v>24</v>
      </c>
      <c r="J182" t="s">
        <v>25</v>
      </c>
      <c r="K182" t="s">
        <v>62</v>
      </c>
      <c r="L182" t="s">
        <v>99</v>
      </c>
      <c r="M182" t="s">
        <v>590</v>
      </c>
      <c r="N182">
        <v>94</v>
      </c>
      <c r="O182">
        <v>37.799999999999997</v>
      </c>
      <c r="P182">
        <v>78.900000000000006</v>
      </c>
      <c r="Q182">
        <v>159</v>
      </c>
      <c r="R182">
        <v>31.2</v>
      </c>
      <c r="S182" t="s">
        <v>73</v>
      </c>
      <c r="T182">
        <v>82439</v>
      </c>
      <c r="U182" t="s">
        <v>48</v>
      </c>
      <c r="V182" t="s">
        <v>56</v>
      </c>
    </row>
    <row r="183" spans="1:22" x14ac:dyDescent="0.25">
      <c r="A183" t="s">
        <v>591</v>
      </c>
      <c r="B183" t="s">
        <v>95</v>
      </c>
      <c r="C183">
        <v>27</v>
      </c>
      <c r="D183" t="s">
        <v>21</v>
      </c>
      <c r="E183" t="s">
        <v>60</v>
      </c>
      <c r="F183" t="s">
        <v>264</v>
      </c>
      <c r="G183" t="str">
        <f>TEXT(Patient_Visits[[#This Row],[Visit_Date (Updated)]],"MM")</f>
        <v>06</v>
      </c>
      <c r="H183" t="str">
        <f>TEXT(Patient_Visits[[#This Row],[Visit_Date (Updated)]],"MMMM")</f>
        <v>June</v>
      </c>
      <c r="I183" t="s">
        <v>36</v>
      </c>
      <c r="J183" t="s">
        <v>141</v>
      </c>
      <c r="K183" t="s">
        <v>89</v>
      </c>
      <c r="L183" t="s">
        <v>39</v>
      </c>
      <c r="M183" t="s">
        <v>592</v>
      </c>
      <c r="N183">
        <v>84</v>
      </c>
      <c r="O183">
        <v>37.6</v>
      </c>
      <c r="P183">
        <v>62.7</v>
      </c>
      <c r="Q183">
        <v>149</v>
      </c>
      <c r="R183">
        <v>28.2</v>
      </c>
      <c r="S183" t="s">
        <v>29</v>
      </c>
      <c r="T183">
        <v>89511</v>
      </c>
      <c r="U183" t="s">
        <v>74</v>
      </c>
      <c r="V183" t="s">
        <v>56</v>
      </c>
    </row>
    <row r="184" spans="1:22" x14ac:dyDescent="0.25">
      <c r="A184" t="s">
        <v>593</v>
      </c>
      <c r="B184" t="s">
        <v>102</v>
      </c>
      <c r="C184">
        <v>13</v>
      </c>
      <c r="D184" t="s">
        <v>67</v>
      </c>
      <c r="E184" t="s">
        <v>132</v>
      </c>
      <c r="F184" t="s">
        <v>567</v>
      </c>
      <c r="G184" t="str">
        <f>TEXT(Patient_Visits[[#This Row],[Visit_Date (Updated)]],"MM")</f>
        <v>01</v>
      </c>
      <c r="H184" t="str">
        <f>TEXT(Patient_Visits[[#This Row],[Visit_Date (Updated)]],"MMMM")</f>
        <v>January</v>
      </c>
      <c r="I184" t="s">
        <v>77</v>
      </c>
      <c r="J184" t="s">
        <v>37</v>
      </c>
      <c r="K184" t="s">
        <v>78</v>
      </c>
      <c r="L184" t="s">
        <v>39</v>
      </c>
      <c r="M184" t="s">
        <v>594</v>
      </c>
      <c r="N184">
        <v>61</v>
      </c>
      <c r="O184">
        <v>36.9</v>
      </c>
      <c r="P184">
        <v>58.4</v>
      </c>
      <c r="Q184">
        <v>175</v>
      </c>
      <c r="R184">
        <v>19.100000000000001</v>
      </c>
      <c r="S184" t="s">
        <v>41</v>
      </c>
      <c r="T184">
        <v>33327</v>
      </c>
      <c r="U184" t="s">
        <v>48</v>
      </c>
      <c r="V184" t="s">
        <v>56</v>
      </c>
    </row>
    <row r="185" spans="1:22" x14ac:dyDescent="0.25">
      <c r="A185" t="s">
        <v>595</v>
      </c>
      <c r="B185" t="s">
        <v>106</v>
      </c>
      <c r="C185">
        <v>46</v>
      </c>
      <c r="D185" t="s">
        <v>67</v>
      </c>
      <c r="E185" t="s">
        <v>139</v>
      </c>
      <c r="F185" t="s">
        <v>486</v>
      </c>
      <c r="G185" t="str">
        <f>TEXT(Patient_Visits[[#This Row],[Visit_Date (Updated)]],"MM")</f>
        <v>06</v>
      </c>
      <c r="H185" t="str">
        <f>TEXT(Patient_Visits[[#This Row],[Visit_Date (Updated)]],"MMMM")</f>
        <v>June</v>
      </c>
      <c r="I185" t="s">
        <v>83</v>
      </c>
      <c r="J185" t="s">
        <v>141</v>
      </c>
      <c r="K185" t="s">
        <v>62</v>
      </c>
      <c r="L185" t="s">
        <v>99</v>
      </c>
      <c r="M185" t="s">
        <v>596</v>
      </c>
      <c r="N185">
        <v>108</v>
      </c>
      <c r="O185">
        <v>36.5</v>
      </c>
      <c r="P185">
        <v>61</v>
      </c>
      <c r="Q185">
        <v>153</v>
      </c>
      <c r="R185">
        <v>26.1</v>
      </c>
      <c r="S185" t="s">
        <v>73</v>
      </c>
      <c r="T185">
        <v>3515</v>
      </c>
      <c r="U185" t="s">
        <v>48</v>
      </c>
      <c r="V185" t="s">
        <v>56</v>
      </c>
    </row>
    <row r="186" spans="1:22" x14ac:dyDescent="0.25">
      <c r="A186" t="s">
        <v>597</v>
      </c>
      <c r="B186" t="s">
        <v>111</v>
      </c>
      <c r="C186">
        <v>25</v>
      </c>
      <c r="D186" t="s">
        <v>67</v>
      </c>
      <c r="E186" t="s">
        <v>68</v>
      </c>
      <c r="F186" t="s">
        <v>598</v>
      </c>
      <c r="G186" t="str">
        <f>TEXT(Patient_Visits[[#This Row],[Visit_Date (Updated)]],"MM")</f>
        <v>04</v>
      </c>
      <c r="H186" t="str">
        <f>TEXT(Patient_Visits[[#This Row],[Visit_Date (Updated)]],"MMMM")</f>
        <v>April</v>
      </c>
      <c r="I186" t="s">
        <v>52</v>
      </c>
      <c r="J186" t="s">
        <v>25</v>
      </c>
      <c r="K186" t="s">
        <v>108</v>
      </c>
      <c r="L186" t="s">
        <v>63</v>
      </c>
      <c r="M186" t="s">
        <v>599</v>
      </c>
      <c r="N186">
        <v>71</v>
      </c>
      <c r="O186">
        <v>37.5</v>
      </c>
      <c r="P186">
        <v>49.8</v>
      </c>
      <c r="Q186">
        <v>167</v>
      </c>
      <c r="R186">
        <v>17.899999999999999</v>
      </c>
      <c r="S186" t="s">
        <v>29</v>
      </c>
      <c r="T186">
        <v>108515</v>
      </c>
      <c r="U186" t="s">
        <v>30</v>
      </c>
      <c r="V186" t="s">
        <v>56</v>
      </c>
    </row>
    <row r="187" spans="1:22" x14ac:dyDescent="0.25">
      <c r="A187" t="s">
        <v>600</v>
      </c>
      <c r="B187" t="s">
        <v>172</v>
      </c>
      <c r="C187">
        <v>6</v>
      </c>
      <c r="D187" t="s">
        <v>21</v>
      </c>
      <c r="E187" t="s">
        <v>139</v>
      </c>
      <c r="F187" t="s">
        <v>372</v>
      </c>
      <c r="G187" t="str">
        <f>TEXT(Patient_Visits[[#This Row],[Visit_Date (Updated)]],"MM")</f>
        <v>03</v>
      </c>
      <c r="H187" t="str">
        <f>TEXT(Patient_Visits[[#This Row],[Visit_Date (Updated)]],"MMMM")</f>
        <v>March</v>
      </c>
      <c r="I187" t="s">
        <v>52</v>
      </c>
      <c r="J187" t="s">
        <v>53</v>
      </c>
      <c r="K187" t="s">
        <v>45</v>
      </c>
      <c r="L187" t="s">
        <v>99</v>
      </c>
      <c r="M187" t="s">
        <v>601</v>
      </c>
      <c r="N187">
        <v>65</v>
      </c>
      <c r="O187">
        <v>37.4</v>
      </c>
      <c r="P187">
        <v>85</v>
      </c>
      <c r="Q187">
        <v>190</v>
      </c>
      <c r="R187">
        <v>23.5</v>
      </c>
      <c r="S187" t="s">
        <v>55</v>
      </c>
      <c r="T187">
        <v>118599</v>
      </c>
      <c r="U187" t="s">
        <v>48</v>
      </c>
      <c r="V187" t="s">
        <v>56</v>
      </c>
    </row>
    <row r="188" spans="1:22" x14ac:dyDescent="0.25">
      <c r="A188" t="s">
        <v>602</v>
      </c>
      <c r="B188" t="s">
        <v>176</v>
      </c>
      <c r="C188">
        <v>35</v>
      </c>
      <c r="D188" t="s">
        <v>21</v>
      </c>
      <c r="E188" t="s">
        <v>60</v>
      </c>
      <c r="F188" t="s">
        <v>603</v>
      </c>
      <c r="G188" t="str">
        <f>TEXT(Patient_Visits[[#This Row],[Visit_Date (Updated)]],"MM")</f>
        <v>01</v>
      </c>
      <c r="H188" t="str">
        <f>TEXT(Patient_Visits[[#This Row],[Visit_Date (Updated)]],"MMMM")</f>
        <v>January</v>
      </c>
      <c r="I188" t="s">
        <v>77</v>
      </c>
      <c r="J188" t="s">
        <v>37</v>
      </c>
      <c r="K188" t="s">
        <v>62</v>
      </c>
      <c r="L188" t="s">
        <v>99</v>
      </c>
      <c r="M188" t="s">
        <v>604</v>
      </c>
      <c r="N188">
        <v>106</v>
      </c>
      <c r="O188">
        <v>36.1</v>
      </c>
      <c r="P188">
        <v>109.4</v>
      </c>
      <c r="Q188">
        <v>168</v>
      </c>
      <c r="R188">
        <v>38.799999999999997</v>
      </c>
      <c r="S188" t="s">
        <v>29</v>
      </c>
      <c r="T188">
        <v>118156</v>
      </c>
      <c r="U188" t="s">
        <v>30</v>
      </c>
      <c r="V188" t="s">
        <v>56</v>
      </c>
    </row>
    <row r="189" spans="1:22" x14ac:dyDescent="0.25">
      <c r="A189" t="s">
        <v>605</v>
      </c>
      <c r="B189" t="s">
        <v>115</v>
      </c>
      <c r="C189">
        <v>67</v>
      </c>
      <c r="D189" t="s">
        <v>21</v>
      </c>
      <c r="E189" t="s">
        <v>22</v>
      </c>
      <c r="F189" t="s">
        <v>606</v>
      </c>
      <c r="G189" t="str">
        <f>TEXT(Patient_Visits[[#This Row],[Visit_Date (Updated)]],"MM")</f>
        <v>01</v>
      </c>
      <c r="H189" t="str">
        <f>TEXT(Patient_Visits[[#This Row],[Visit_Date (Updated)]],"MMMM")</f>
        <v>January</v>
      </c>
      <c r="I189" t="s">
        <v>77</v>
      </c>
      <c r="J189" t="s">
        <v>141</v>
      </c>
      <c r="K189" t="s">
        <v>26</v>
      </c>
      <c r="L189" t="s">
        <v>99</v>
      </c>
      <c r="M189" t="s">
        <v>607</v>
      </c>
      <c r="N189">
        <v>67</v>
      </c>
      <c r="O189">
        <v>37.9</v>
      </c>
      <c r="P189">
        <v>98.8</v>
      </c>
      <c r="Q189">
        <v>152</v>
      </c>
      <c r="R189">
        <v>42.8</v>
      </c>
      <c r="S189" t="s">
        <v>73</v>
      </c>
      <c r="T189">
        <v>31198</v>
      </c>
      <c r="U189" t="s">
        <v>30</v>
      </c>
      <c r="V189" t="s">
        <v>56</v>
      </c>
    </row>
    <row r="190" spans="1:22" x14ac:dyDescent="0.25">
      <c r="A190" t="s">
        <v>608</v>
      </c>
      <c r="B190" t="s">
        <v>121</v>
      </c>
      <c r="C190">
        <v>39</v>
      </c>
      <c r="D190" t="s">
        <v>21</v>
      </c>
      <c r="E190" t="s">
        <v>60</v>
      </c>
      <c r="F190" t="s">
        <v>609</v>
      </c>
      <c r="G190" t="str">
        <f>TEXT(Patient_Visits[[#This Row],[Visit_Date (Updated)]],"MM")</f>
        <v>05</v>
      </c>
      <c r="H190" t="str">
        <f>TEXT(Patient_Visits[[#This Row],[Visit_Date (Updated)]],"MMMM")</f>
        <v>May</v>
      </c>
      <c r="I190" t="s">
        <v>98</v>
      </c>
      <c r="J190" t="s">
        <v>25</v>
      </c>
      <c r="K190" t="s">
        <v>38</v>
      </c>
      <c r="L190" t="s">
        <v>99</v>
      </c>
      <c r="M190" t="s">
        <v>610</v>
      </c>
      <c r="N190">
        <v>86</v>
      </c>
      <c r="O190">
        <v>38.799999999999997</v>
      </c>
      <c r="P190">
        <v>106.6</v>
      </c>
      <c r="Q190">
        <v>165</v>
      </c>
      <c r="R190">
        <v>39.200000000000003</v>
      </c>
      <c r="S190" t="s">
        <v>29</v>
      </c>
      <c r="T190">
        <v>45691</v>
      </c>
      <c r="U190" t="s">
        <v>74</v>
      </c>
      <c r="V190" t="s">
        <v>56</v>
      </c>
    </row>
    <row r="191" spans="1:22" x14ac:dyDescent="0.25">
      <c r="A191" t="s">
        <v>611</v>
      </c>
      <c r="B191" t="s">
        <v>125</v>
      </c>
      <c r="C191">
        <v>63</v>
      </c>
      <c r="D191" t="s">
        <v>67</v>
      </c>
      <c r="E191" t="s">
        <v>132</v>
      </c>
      <c r="F191" t="s">
        <v>612</v>
      </c>
      <c r="G191" t="str">
        <f>TEXT(Patient_Visits[[#This Row],[Visit_Date (Updated)]],"MM")</f>
        <v>12</v>
      </c>
      <c r="H191" t="str">
        <f>TEXT(Patient_Visits[[#This Row],[Visit_Date (Updated)]],"MMMM")</f>
        <v>December</v>
      </c>
      <c r="I191" t="s">
        <v>83</v>
      </c>
      <c r="J191" t="s">
        <v>53</v>
      </c>
      <c r="K191" t="s">
        <v>78</v>
      </c>
      <c r="L191" t="s">
        <v>39</v>
      </c>
      <c r="M191" t="s">
        <v>613</v>
      </c>
      <c r="N191">
        <v>86</v>
      </c>
      <c r="O191">
        <v>37.299999999999997</v>
      </c>
      <c r="P191">
        <v>50.6</v>
      </c>
      <c r="Q191">
        <v>172</v>
      </c>
      <c r="R191">
        <v>17.100000000000001</v>
      </c>
      <c r="S191" t="s">
        <v>55</v>
      </c>
      <c r="T191">
        <v>108349</v>
      </c>
      <c r="U191" t="s">
        <v>30</v>
      </c>
      <c r="V191" t="s">
        <v>56</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85CAD-13BB-4C48-9015-F9CE673B37D9}">
  <dimension ref="A1:N143"/>
  <sheetViews>
    <sheetView workbookViewId="0">
      <selection activeCell="N2" sqref="N2"/>
    </sheetView>
  </sheetViews>
  <sheetFormatPr defaultRowHeight="15" x14ac:dyDescent="0.25"/>
  <cols>
    <col min="1" max="1" width="10" bestFit="1" customWidth="1"/>
    <col min="2" max="2" width="12.5703125" bestFit="1" customWidth="1"/>
    <col min="3" max="3" width="22" bestFit="1" customWidth="1"/>
    <col min="4" max="4" width="23.28515625" bestFit="1" customWidth="1"/>
    <col min="5" max="5" width="16" bestFit="1" customWidth="1"/>
    <col min="6" max="6" width="17.7109375" bestFit="1" customWidth="1"/>
    <col min="7" max="7" width="28.28515625" bestFit="1" customWidth="1"/>
    <col min="8" max="8" width="13.42578125" bestFit="1" customWidth="1"/>
    <col min="9" max="9" width="23.85546875" bestFit="1" customWidth="1"/>
    <col min="10" max="10" width="23.42578125" bestFit="1" customWidth="1"/>
    <col min="11" max="11" width="26.42578125" bestFit="1" customWidth="1"/>
    <col min="12" max="12" width="18.42578125" bestFit="1" customWidth="1"/>
    <col min="13" max="13" width="14" bestFit="1" customWidth="1"/>
    <col min="14" max="14" width="19" bestFit="1" customWidth="1"/>
  </cols>
  <sheetData>
    <row r="1" spans="1:14" x14ac:dyDescent="0.25">
      <c r="A1" t="s">
        <v>614</v>
      </c>
      <c r="B1" t="s">
        <v>0</v>
      </c>
      <c r="C1" t="s">
        <v>615</v>
      </c>
      <c r="D1" t="s">
        <v>616</v>
      </c>
      <c r="E1" t="s">
        <v>617</v>
      </c>
      <c r="F1" t="s">
        <v>618</v>
      </c>
      <c r="G1" t="s">
        <v>619</v>
      </c>
      <c r="H1" t="s">
        <v>620</v>
      </c>
      <c r="I1" t="s">
        <v>621</v>
      </c>
      <c r="J1" t="s">
        <v>622</v>
      </c>
      <c r="K1" t="s">
        <v>623</v>
      </c>
      <c r="L1" t="s">
        <v>624</v>
      </c>
      <c r="M1" t="s">
        <v>625</v>
      </c>
      <c r="N1" t="s">
        <v>626</v>
      </c>
    </row>
    <row r="2" spans="1:14" x14ac:dyDescent="0.25">
      <c r="A2" t="s">
        <v>627</v>
      </c>
      <c r="B2" t="s">
        <v>244</v>
      </c>
      <c r="C2" s="1">
        <v>45238</v>
      </c>
      <c r="D2" t="s">
        <v>628</v>
      </c>
      <c r="E2">
        <v>5</v>
      </c>
      <c r="F2">
        <v>100</v>
      </c>
      <c r="G2">
        <v>500</v>
      </c>
      <c r="H2" t="s">
        <v>629</v>
      </c>
      <c r="I2" t="s">
        <v>31</v>
      </c>
      <c r="J2" t="s">
        <v>31</v>
      </c>
      <c r="K2" t="s">
        <v>56</v>
      </c>
      <c r="L2">
        <v>66</v>
      </c>
      <c r="M2" s="1">
        <v>45633</v>
      </c>
      <c r="N2" t="s">
        <v>31</v>
      </c>
    </row>
    <row r="3" spans="1:14" x14ac:dyDescent="0.25">
      <c r="A3" t="s">
        <v>630</v>
      </c>
      <c r="B3" t="s">
        <v>531</v>
      </c>
      <c r="C3" s="1">
        <v>44986</v>
      </c>
      <c r="D3" t="s">
        <v>631</v>
      </c>
      <c r="E3">
        <v>10</v>
      </c>
      <c r="F3">
        <v>80</v>
      </c>
      <c r="G3">
        <v>800</v>
      </c>
      <c r="H3" t="s">
        <v>632</v>
      </c>
      <c r="I3" t="s">
        <v>31</v>
      </c>
      <c r="J3" t="s">
        <v>56</v>
      </c>
      <c r="K3" t="s">
        <v>56</v>
      </c>
      <c r="L3">
        <v>108</v>
      </c>
      <c r="M3" s="1">
        <v>45614</v>
      </c>
      <c r="N3" t="s">
        <v>31</v>
      </c>
    </row>
    <row r="4" spans="1:14" x14ac:dyDescent="0.25">
      <c r="A4" t="s">
        <v>633</v>
      </c>
      <c r="B4" t="s">
        <v>304</v>
      </c>
      <c r="C4" s="1">
        <v>45277</v>
      </c>
      <c r="D4" t="s">
        <v>634</v>
      </c>
      <c r="E4">
        <v>9</v>
      </c>
      <c r="F4">
        <v>200</v>
      </c>
      <c r="G4">
        <v>1800</v>
      </c>
      <c r="H4" t="s">
        <v>629</v>
      </c>
      <c r="I4" t="s">
        <v>56</v>
      </c>
      <c r="J4" t="s">
        <v>56</v>
      </c>
      <c r="K4" t="s">
        <v>56</v>
      </c>
      <c r="L4">
        <v>85</v>
      </c>
      <c r="M4" s="1">
        <v>45554</v>
      </c>
      <c r="N4" t="s">
        <v>31</v>
      </c>
    </row>
    <row r="5" spans="1:14" x14ac:dyDescent="0.25">
      <c r="A5" t="s">
        <v>635</v>
      </c>
      <c r="B5" t="s">
        <v>19</v>
      </c>
      <c r="C5" s="1">
        <v>45169</v>
      </c>
      <c r="D5" t="s">
        <v>634</v>
      </c>
      <c r="E5">
        <v>9</v>
      </c>
      <c r="F5">
        <v>200</v>
      </c>
      <c r="G5">
        <v>1800</v>
      </c>
      <c r="H5" t="s">
        <v>636</v>
      </c>
      <c r="I5" t="s">
        <v>56</v>
      </c>
      <c r="J5" t="s">
        <v>56</v>
      </c>
      <c r="K5" t="s">
        <v>56</v>
      </c>
      <c r="L5">
        <v>156</v>
      </c>
      <c r="M5" s="1">
        <v>45578</v>
      </c>
      <c r="N5" t="s">
        <v>31</v>
      </c>
    </row>
    <row r="6" spans="1:14" x14ac:dyDescent="0.25">
      <c r="A6" t="s">
        <v>637</v>
      </c>
      <c r="B6" t="s">
        <v>241</v>
      </c>
      <c r="C6" s="1">
        <v>45249</v>
      </c>
      <c r="D6" t="s">
        <v>638</v>
      </c>
      <c r="E6">
        <v>6</v>
      </c>
      <c r="F6">
        <v>150</v>
      </c>
      <c r="G6">
        <v>900</v>
      </c>
      <c r="H6" t="s">
        <v>629</v>
      </c>
      <c r="I6" t="s">
        <v>31</v>
      </c>
      <c r="J6" t="s">
        <v>56</v>
      </c>
      <c r="K6" t="s">
        <v>56</v>
      </c>
      <c r="L6">
        <v>105</v>
      </c>
      <c r="M6" s="1">
        <v>45574</v>
      </c>
      <c r="N6" t="s">
        <v>31</v>
      </c>
    </row>
    <row r="7" spans="1:14" x14ac:dyDescent="0.25">
      <c r="A7" t="s">
        <v>639</v>
      </c>
      <c r="B7" t="s">
        <v>494</v>
      </c>
      <c r="C7" s="1">
        <v>45264</v>
      </c>
      <c r="D7" t="s">
        <v>640</v>
      </c>
      <c r="E7">
        <v>10</v>
      </c>
      <c r="F7">
        <v>120</v>
      </c>
      <c r="G7">
        <v>1200</v>
      </c>
      <c r="H7" t="s">
        <v>629</v>
      </c>
      <c r="I7" t="s">
        <v>31</v>
      </c>
      <c r="J7" t="s">
        <v>56</v>
      </c>
      <c r="K7" t="s">
        <v>56</v>
      </c>
      <c r="L7">
        <v>161</v>
      </c>
      <c r="M7" s="1">
        <v>45635</v>
      </c>
      <c r="N7" t="s">
        <v>31</v>
      </c>
    </row>
    <row r="8" spans="1:14" x14ac:dyDescent="0.25">
      <c r="A8" t="s">
        <v>641</v>
      </c>
      <c r="B8" t="s">
        <v>260</v>
      </c>
      <c r="C8" s="1">
        <v>45169</v>
      </c>
      <c r="D8" t="s">
        <v>640</v>
      </c>
      <c r="E8">
        <v>9</v>
      </c>
      <c r="F8">
        <v>120</v>
      </c>
      <c r="G8">
        <v>1080</v>
      </c>
      <c r="H8" t="s">
        <v>629</v>
      </c>
      <c r="I8" t="s">
        <v>31</v>
      </c>
      <c r="J8" t="s">
        <v>31</v>
      </c>
      <c r="K8" t="s">
        <v>56</v>
      </c>
      <c r="L8">
        <v>151</v>
      </c>
      <c r="M8" s="1">
        <v>45478</v>
      </c>
      <c r="N8" t="s">
        <v>31</v>
      </c>
    </row>
    <row r="9" spans="1:14" x14ac:dyDescent="0.25">
      <c r="A9" t="s">
        <v>642</v>
      </c>
      <c r="B9" t="s">
        <v>643</v>
      </c>
      <c r="C9" s="1">
        <v>45197</v>
      </c>
      <c r="D9" t="s">
        <v>640</v>
      </c>
      <c r="E9">
        <v>9</v>
      </c>
      <c r="F9">
        <v>120</v>
      </c>
      <c r="G9">
        <v>1080</v>
      </c>
      <c r="H9" t="s">
        <v>632</v>
      </c>
      <c r="I9" t="s">
        <v>31</v>
      </c>
      <c r="J9" t="s">
        <v>56</v>
      </c>
      <c r="K9" t="s">
        <v>56</v>
      </c>
      <c r="L9">
        <v>98</v>
      </c>
      <c r="M9" s="1">
        <v>45495</v>
      </c>
      <c r="N9" t="s">
        <v>31</v>
      </c>
    </row>
    <row r="10" spans="1:14" x14ac:dyDescent="0.25">
      <c r="A10" t="s">
        <v>644</v>
      </c>
      <c r="B10" t="s">
        <v>200</v>
      </c>
      <c r="C10" s="1">
        <v>45005</v>
      </c>
      <c r="D10" t="s">
        <v>634</v>
      </c>
      <c r="E10">
        <v>3</v>
      </c>
      <c r="F10">
        <v>200</v>
      </c>
      <c r="G10">
        <v>600</v>
      </c>
      <c r="H10" t="s">
        <v>636</v>
      </c>
      <c r="I10" t="s">
        <v>56</v>
      </c>
      <c r="J10" t="s">
        <v>56</v>
      </c>
      <c r="K10" t="s">
        <v>56</v>
      </c>
      <c r="L10">
        <v>102</v>
      </c>
      <c r="M10" s="1">
        <v>45531</v>
      </c>
      <c r="N10" t="s">
        <v>31</v>
      </c>
    </row>
    <row r="11" spans="1:14" x14ac:dyDescent="0.25">
      <c r="A11" t="s">
        <v>645</v>
      </c>
      <c r="B11" t="s">
        <v>371</v>
      </c>
      <c r="C11" s="1">
        <v>44989</v>
      </c>
      <c r="D11" t="s">
        <v>638</v>
      </c>
      <c r="E11">
        <v>3</v>
      </c>
      <c r="F11">
        <v>150</v>
      </c>
      <c r="G11">
        <v>450</v>
      </c>
      <c r="H11" t="s">
        <v>629</v>
      </c>
      <c r="I11" t="s">
        <v>31</v>
      </c>
      <c r="J11" t="s">
        <v>31</v>
      </c>
      <c r="K11" t="s">
        <v>56</v>
      </c>
      <c r="L11">
        <v>101</v>
      </c>
      <c r="M11" s="1">
        <v>45455</v>
      </c>
      <c r="N11" t="s">
        <v>31</v>
      </c>
    </row>
    <row r="12" spans="1:14" x14ac:dyDescent="0.25">
      <c r="A12" t="s">
        <v>646</v>
      </c>
      <c r="B12" t="s">
        <v>323</v>
      </c>
      <c r="C12" s="1">
        <v>45266</v>
      </c>
      <c r="D12" t="s">
        <v>628</v>
      </c>
      <c r="E12">
        <v>9</v>
      </c>
      <c r="F12">
        <v>100</v>
      </c>
      <c r="G12">
        <v>900</v>
      </c>
      <c r="H12" t="s">
        <v>636</v>
      </c>
      <c r="I12" t="s">
        <v>31</v>
      </c>
      <c r="J12" t="s">
        <v>31</v>
      </c>
      <c r="K12" t="s">
        <v>56</v>
      </c>
      <c r="L12">
        <v>174</v>
      </c>
      <c r="M12" s="1">
        <v>45452</v>
      </c>
      <c r="N12" t="s">
        <v>31</v>
      </c>
    </row>
    <row r="13" spans="1:14" x14ac:dyDescent="0.25">
      <c r="A13" t="s">
        <v>647</v>
      </c>
      <c r="B13" t="s">
        <v>200</v>
      </c>
      <c r="C13" s="1">
        <v>45191</v>
      </c>
      <c r="D13" t="s">
        <v>648</v>
      </c>
      <c r="E13">
        <v>1</v>
      </c>
      <c r="F13">
        <v>300</v>
      </c>
      <c r="G13">
        <v>300</v>
      </c>
      <c r="H13" t="s">
        <v>629</v>
      </c>
      <c r="I13" t="s">
        <v>56</v>
      </c>
      <c r="J13" t="s">
        <v>56</v>
      </c>
      <c r="K13" t="s">
        <v>56</v>
      </c>
      <c r="L13">
        <v>38</v>
      </c>
      <c r="M13" s="1">
        <v>45520</v>
      </c>
      <c r="N13" t="s">
        <v>31</v>
      </c>
    </row>
    <row r="14" spans="1:14" x14ac:dyDescent="0.25">
      <c r="A14" t="s">
        <v>649</v>
      </c>
      <c r="B14" t="s">
        <v>435</v>
      </c>
      <c r="C14" s="1">
        <v>45265</v>
      </c>
      <c r="D14" t="s">
        <v>650</v>
      </c>
      <c r="E14">
        <v>10</v>
      </c>
      <c r="F14">
        <v>250</v>
      </c>
      <c r="G14">
        <v>2500</v>
      </c>
      <c r="H14" t="s">
        <v>636</v>
      </c>
      <c r="I14" t="s">
        <v>56</v>
      </c>
      <c r="J14" t="s">
        <v>56</v>
      </c>
      <c r="K14" t="s">
        <v>56</v>
      </c>
      <c r="L14">
        <v>138</v>
      </c>
      <c r="M14" s="1">
        <v>45530</v>
      </c>
      <c r="N14" t="s">
        <v>31</v>
      </c>
    </row>
    <row r="15" spans="1:14" x14ac:dyDescent="0.25">
      <c r="A15" t="s">
        <v>651</v>
      </c>
      <c r="B15" t="s">
        <v>110</v>
      </c>
      <c r="C15" s="1">
        <v>45229</v>
      </c>
      <c r="D15" t="s">
        <v>648</v>
      </c>
      <c r="E15">
        <v>5</v>
      </c>
      <c r="F15">
        <v>300</v>
      </c>
      <c r="G15">
        <v>1500</v>
      </c>
      <c r="H15" t="s">
        <v>629</v>
      </c>
      <c r="I15" t="s">
        <v>56</v>
      </c>
      <c r="J15" t="s">
        <v>56</v>
      </c>
      <c r="K15" t="s">
        <v>56</v>
      </c>
      <c r="L15">
        <v>144</v>
      </c>
      <c r="M15" s="1">
        <v>45515</v>
      </c>
      <c r="N15" t="s">
        <v>31</v>
      </c>
    </row>
    <row r="16" spans="1:14" x14ac:dyDescent="0.25">
      <c r="A16" t="s">
        <v>652</v>
      </c>
      <c r="B16" t="s">
        <v>254</v>
      </c>
      <c r="C16" s="1">
        <v>45050</v>
      </c>
      <c r="D16" t="s">
        <v>653</v>
      </c>
      <c r="E16">
        <v>8</v>
      </c>
      <c r="F16">
        <v>1200</v>
      </c>
      <c r="G16">
        <v>9600</v>
      </c>
      <c r="H16" t="s">
        <v>632</v>
      </c>
      <c r="I16" t="s">
        <v>56</v>
      </c>
      <c r="J16" t="s">
        <v>56</v>
      </c>
      <c r="K16" t="s">
        <v>56</v>
      </c>
      <c r="L16">
        <v>139</v>
      </c>
      <c r="M16" s="1">
        <v>45612</v>
      </c>
      <c r="N16" t="s">
        <v>31</v>
      </c>
    </row>
    <row r="17" spans="1:14" x14ac:dyDescent="0.25">
      <c r="A17" t="s">
        <v>654</v>
      </c>
      <c r="B17" t="s">
        <v>135</v>
      </c>
      <c r="C17" s="1">
        <v>45030</v>
      </c>
      <c r="D17" t="s">
        <v>648</v>
      </c>
      <c r="E17">
        <v>7</v>
      </c>
      <c r="F17">
        <v>300</v>
      </c>
      <c r="G17">
        <v>2100</v>
      </c>
      <c r="H17" t="s">
        <v>636</v>
      </c>
      <c r="I17" t="s">
        <v>56</v>
      </c>
      <c r="J17" t="s">
        <v>31</v>
      </c>
      <c r="K17" t="s">
        <v>31</v>
      </c>
      <c r="L17">
        <v>163</v>
      </c>
      <c r="M17" s="1">
        <v>45638</v>
      </c>
      <c r="N17" t="s">
        <v>31</v>
      </c>
    </row>
    <row r="18" spans="1:14" x14ac:dyDescent="0.25">
      <c r="A18" t="s">
        <v>655</v>
      </c>
      <c r="B18" t="s">
        <v>94</v>
      </c>
      <c r="C18" s="1">
        <v>45153</v>
      </c>
      <c r="D18" t="s">
        <v>638</v>
      </c>
      <c r="E18">
        <v>6</v>
      </c>
      <c r="F18">
        <v>150</v>
      </c>
      <c r="G18">
        <v>900</v>
      </c>
      <c r="H18" t="s">
        <v>632</v>
      </c>
      <c r="I18" t="s">
        <v>31</v>
      </c>
      <c r="J18" t="s">
        <v>31</v>
      </c>
      <c r="K18" t="s">
        <v>56</v>
      </c>
      <c r="L18">
        <v>109</v>
      </c>
      <c r="M18" s="1">
        <v>45556</v>
      </c>
      <c r="N18" t="s">
        <v>31</v>
      </c>
    </row>
    <row r="19" spans="1:14" x14ac:dyDescent="0.25">
      <c r="A19" t="s">
        <v>656</v>
      </c>
      <c r="B19" t="s">
        <v>491</v>
      </c>
      <c r="C19" s="1">
        <v>45058</v>
      </c>
      <c r="D19" t="s">
        <v>640</v>
      </c>
      <c r="E19">
        <v>4</v>
      </c>
      <c r="F19">
        <v>120</v>
      </c>
      <c r="G19">
        <v>480</v>
      </c>
      <c r="H19" t="s">
        <v>636</v>
      </c>
      <c r="I19" t="s">
        <v>31</v>
      </c>
      <c r="J19" t="s">
        <v>56</v>
      </c>
      <c r="K19" t="s">
        <v>56</v>
      </c>
      <c r="L19">
        <v>163</v>
      </c>
      <c r="M19" s="1">
        <v>45501</v>
      </c>
      <c r="N19" t="s">
        <v>31</v>
      </c>
    </row>
    <row r="20" spans="1:14" x14ac:dyDescent="0.25">
      <c r="A20" t="s">
        <v>657</v>
      </c>
      <c r="B20" t="s">
        <v>566</v>
      </c>
      <c r="C20" s="1">
        <v>45224</v>
      </c>
      <c r="D20" t="s">
        <v>640</v>
      </c>
      <c r="E20">
        <v>2</v>
      </c>
      <c r="F20">
        <v>120</v>
      </c>
      <c r="G20">
        <v>240</v>
      </c>
      <c r="H20" t="s">
        <v>629</v>
      </c>
      <c r="I20" t="s">
        <v>31</v>
      </c>
      <c r="J20" t="s">
        <v>56</v>
      </c>
      <c r="K20" t="s">
        <v>56</v>
      </c>
      <c r="L20">
        <v>89</v>
      </c>
      <c r="M20" s="1">
        <v>44286</v>
      </c>
      <c r="N20" t="s">
        <v>56</v>
      </c>
    </row>
    <row r="21" spans="1:14" x14ac:dyDescent="0.25">
      <c r="A21" t="s">
        <v>658</v>
      </c>
      <c r="B21" t="s">
        <v>128</v>
      </c>
      <c r="C21" s="1">
        <v>45155</v>
      </c>
      <c r="D21" t="s">
        <v>638</v>
      </c>
      <c r="E21">
        <v>7</v>
      </c>
      <c r="F21">
        <v>150</v>
      </c>
      <c r="G21">
        <v>1050</v>
      </c>
      <c r="H21" t="s">
        <v>629</v>
      </c>
      <c r="I21" t="s">
        <v>31</v>
      </c>
      <c r="J21" t="s">
        <v>31</v>
      </c>
      <c r="K21" t="s">
        <v>56</v>
      </c>
      <c r="L21">
        <v>132</v>
      </c>
      <c r="M21" s="1">
        <v>45621</v>
      </c>
      <c r="N21" t="s">
        <v>31</v>
      </c>
    </row>
    <row r="22" spans="1:14" x14ac:dyDescent="0.25">
      <c r="A22" t="s">
        <v>659</v>
      </c>
      <c r="B22" t="s">
        <v>75</v>
      </c>
      <c r="C22" s="1">
        <v>44982</v>
      </c>
      <c r="D22" t="s">
        <v>660</v>
      </c>
      <c r="E22">
        <v>10</v>
      </c>
      <c r="F22">
        <v>90</v>
      </c>
      <c r="G22">
        <v>900</v>
      </c>
      <c r="H22" t="s">
        <v>636</v>
      </c>
      <c r="I22" t="s">
        <v>56</v>
      </c>
      <c r="J22" t="s">
        <v>56</v>
      </c>
      <c r="K22" t="s">
        <v>56</v>
      </c>
      <c r="L22">
        <v>123</v>
      </c>
      <c r="M22" s="1">
        <v>45623</v>
      </c>
      <c r="N22" t="s">
        <v>31</v>
      </c>
    </row>
    <row r="23" spans="1:14" x14ac:dyDescent="0.25">
      <c r="A23" t="s">
        <v>661</v>
      </c>
      <c r="B23" t="s">
        <v>377</v>
      </c>
      <c r="C23" s="1">
        <v>45139</v>
      </c>
      <c r="D23" t="s">
        <v>634</v>
      </c>
      <c r="E23">
        <v>3</v>
      </c>
      <c r="F23">
        <v>200</v>
      </c>
      <c r="G23">
        <v>600</v>
      </c>
      <c r="H23" t="s">
        <v>632</v>
      </c>
      <c r="I23" t="s">
        <v>56</v>
      </c>
      <c r="J23" t="s">
        <v>56</v>
      </c>
      <c r="K23" t="s">
        <v>56</v>
      </c>
      <c r="L23">
        <v>10</v>
      </c>
      <c r="M23" s="1">
        <v>45540</v>
      </c>
      <c r="N23" t="s">
        <v>31</v>
      </c>
    </row>
    <row r="24" spans="1:14" x14ac:dyDescent="0.25">
      <c r="A24" t="s">
        <v>662</v>
      </c>
      <c r="B24" t="s">
        <v>429</v>
      </c>
      <c r="C24" s="1">
        <v>44931</v>
      </c>
      <c r="D24" t="s">
        <v>650</v>
      </c>
      <c r="E24">
        <v>4</v>
      </c>
      <c r="F24">
        <v>250</v>
      </c>
      <c r="G24">
        <v>1000</v>
      </c>
      <c r="H24" t="s">
        <v>636</v>
      </c>
      <c r="I24" t="s">
        <v>56</v>
      </c>
      <c r="J24" t="s">
        <v>56</v>
      </c>
      <c r="K24" t="s">
        <v>56</v>
      </c>
      <c r="L24">
        <v>143</v>
      </c>
      <c r="M24" s="1">
        <v>45465</v>
      </c>
      <c r="N24" t="s">
        <v>31</v>
      </c>
    </row>
    <row r="25" spans="1:14" x14ac:dyDescent="0.25">
      <c r="A25" t="s">
        <v>663</v>
      </c>
      <c r="B25" t="s">
        <v>282</v>
      </c>
      <c r="C25" s="1">
        <v>45210</v>
      </c>
      <c r="D25" t="s">
        <v>640</v>
      </c>
      <c r="E25">
        <v>5</v>
      </c>
      <c r="F25">
        <v>120</v>
      </c>
      <c r="G25">
        <v>600</v>
      </c>
      <c r="H25" t="s">
        <v>632</v>
      </c>
      <c r="I25" t="s">
        <v>31</v>
      </c>
      <c r="J25" t="s">
        <v>56</v>
      </c>
      <c r="K25" t="s">
        <v>56</v>
      </c>
      <c r="L25">
        <v>61</v>
      </c>
      <c r="M25" s="1">
        <v>45629</v>
      </c>
      <c r="N25" t="s">
        <v>31</v>
      </c>
    </row>
    <row r="26" spans="1:14" x14ac:dyDescent="0.25">
      <c r="A26" t="s">
        <v>664</v>
      </c>
      <c r="B26" t="s">
        <v>469</v>
      </c>
      <c r="C26" s="1">
        <v>44934</v>
      </c>
      <c r="D26" t="s">
        <v>631</v>
      </c>
      <c r="E26">
        <v>8</v>
      </c>
      <c r="F26">
        <v>80</v>
      </c>
      <c r="G26">
        <v>640</v>
      </c>
      <c r="H26" t="s">
        <v>632</v>
      </c>
      <c r="I26" t="s">
        <v>31</v>
      </c>
      <c r="J26" t="s">
        <v>56</v>
      </c>
      <c r="K26" t="s">
        <v>56</v>
      </c>
      <c r="L26">
        <v>149</v>
      </c>
      <c r="M26" s="1">
        <v>45537</v>
      </c>
      <c r="N26" t="s">
        <v>31</v>
      </c>
    </row>
    <row r="27" spans="1:14" x14ac:dyDescent="0.25">
      <c r="A27" t="s">
        <v>665</v>
      </c>
      <c r="B27" t="s">
        <v>545</v>
      </c>
      <c r="C27" s="1">
        <v>45029</v>
      </c>
      <c r="D27" t="s">
        <v>640</v>
      </c>
      <c r="E27">
        <v>8</v>
      </c>
      <c r="F27">
        <v>120</v>
      </c>
      <c r="G27">
        <v>960</v>
      </c>
      <c r="H27" t="s">
        <v>632</v>
      </c>
      <c r="I27" t="s">
        <v>31</v>
      </c>
      <c r="J27" t="s">
        <v>31</v>
      </c>
      <c r="K27" t="s">
        <v>56</v>
      </c>
      <c r="L27">
        <v>154</v>
      </c>
      <c r="M27" s="1">
        <v>45487</v>
      </c>
      <c r="N27" t="s">
        <v>31</v>
      </c>
    </row>
    <row r="28" spans="1:14" x14ac:dyDescent="0.25">
      <c r="A28" t="s">
        <v>666</v>
      </c>
      <c r="B28" t="s">
        <v>101</v>
      </c>
      <c r="C28" s="1">
        <v>45247</v>
      </c>
      <c r="D28" t="s">
        <v>648</v>
      </c>
      <c r="E28">
        <v>6</v>
      </c>
      <c r="F28">
        <v>300</v>
      </c>
      <c r="G28">
        <v>1800</v>
      </c>
      <c r="H28" t="s">
        <v>632</v>
      </c>
      <c r="I28" t="s">
        <v>56</v>
      </c>
      <c r="J28" t="s">
        <v>56</v>
      </c>
      <c r="K28" t="s">
        <v>56</v>
      </c>
      <c r="L28">
        <v>137</v>
      </c>
      <c r="M28" s="1">
        <v>45449</v>
      </c>
      <c r="N28" t="s">
        <v>31</v>
      </c>
    </row>
    <row r="29" spans="1:14" x14ac:dyDescent="0.25">
      <c r="A29" t="s">
        <v>667</v>
      </c>
      <c r="B29" t="s">
        <v>445</v>
      </c>
      <c r="C29" s="1">
        <v>45067</v>
      </c>
      <c r="D29" t="s">
        <v>628</v>
      </c>
      <c r="E29">
        <v>5</v>
      </c>
      <c r="F29">
        <v>100</v>
      </c>
      <c r="G29">
        <v>500</v>
      </c>
      <c r="H29" t="s">
        <v>632</v>
      </c>
      <c r="I29" t="s">
        <v>31</v>
      </c>
      <c r="J29" t="s">
        <v>31</v>
      </c>
      <c r="K29" t="s">
        <v>56</v>
      </c>
      <c r="L29">
        <v>103</v>
      </c>
      <c r="M29" s="1">
        <v>45526</v>
      </c>
      <c r="N29" t="s">
        <v>31</v>
      </c>
    </row>
    <row r="30" spans="1:14" x14ac:dyDescent="0.25">
      <c r="A30" t="s">
        <v>668</v>
      </c>
      <c r="B30" t="s">
        <v>284</v>
      </c>
      <c r="C30" s="1">
        <v>45211</v>
      </c>
      <c r="D30" t="s">
        <v>638</v>
      </c>
      <c r="E30">
        <v>9</v>
      </c>
      <c r="F30">
        <v>150</v>
      </c>
      <c r="G30">
        <v>1350</v>
      </c>
      <c r="H30" t="s">
        <v>636</v>
      </c>
      <c r="I30" t="s">
        <v>31</v>
      </c>
      <c r="J30" t="s">
        <v>56</v>
      </c>
      <c r="K30" t="s">
        <v>56</v>
      </c>
      <c r="L30">
        <v>83</v>
      </c>
      <c r="M30" s="1">
        <v>45512</v>
      </c>
      <c r="N30" t="s">
        <v>31</v>
      </c>
    </row>
    <row r="31" spans="1:14" x14ac:dyDescent="0.25">
      <c r="A31" t="s">
        <v>669</v>
      </c>
      <c r="B31" t="s">
        <v>445</v>
      </c>
      <c r="C31" s="1">
        <v>45260</v>
      </c>
      <c r="D31" t="s">
        <v>640</v>
      </c>
      <c r="E31">
        <v>8</v>
      </c>
      <c r="F31">
        <v>120</v>
      </c>
      <c r="G31">
        <v>960</v>
      </c>
      <c r="H31" t="s">
        <v>629</v>
      </c>
      <c r="I31" t="s">
        <v>31</v>
      </c>
      <c r="J31" t="s">
        <v>31</v>
      </c>
      <c r="K31" t="s">
        <v>56</v>
      </c>
      <c r="L31">
        <v>186</v>
      </c>
      <c r="M31" s="1">
        <v>45570</v>
      </c>
      <c r="N31" t="s">
        <v>31</v>
      </c>
    </row>
    <row r="32" spans="1:14" x14ac:dyDescent="0.25">
      <c r="A32" t="s">
        <v>670</v>
      </c>
      <c r="B32" t="s">
        <v>329</v>
      </c>
      <c r="C32" s="1">
        <v>45101</v>
      </c>
      <c r="D32" t="s">
        <v>650</v>
      </c>
      <c r="E32">
        <v>8</v>
      </c>
      <c r="F32">
        <v>250</v>
      </c>
      <c r="G32">
        <v>2000</v>
      </c>
      <c r="H32" t="s">
        <v>629</v>
      </c>
      <c r="I32" t="s">
        <v>56</v>
      </c>
      <c r="J32" t="s">
        <v>56</v>
      </c>
      <c r="K32" t="s">
        <v>56</v>
      </c>
      <c r="L32">
        <v>147</v>
      </c>
      <c r="M32" s="1">
        <v>45598</v>
      </c>
      <c r="N32" t="s">
        <v>31</v>
      </c>
    </row>
    <row r="33" spans="1:14" x14ac:dyDescent="0.25">
      <c r="A33" t="s">
        <v>671</v>
      </c>
      <c r="B33" t="s">
        <v>301</v>
      </c>
      <c r="C33" s="1">
        <v>44945</v>
      </c>
      <c r="D33" t="s">
        <v>653</v>
      </c>
      <c r="E33">
        <v>4</v>
      </c>
      <c r="F33">
        <v>1200</v>
      </c>
      <c r="G33">
        <v>4800</v>
      </c>
      <c r="H33" t="s">
        <v>636</v>
      </c>
      <c r="I33" t="s">
        <v>56</v>
      </c>
      <c r="J33" t="s">
        <v>56</v>
      </c>
      <c r="K33" t="s">
        <v>56</v>
      </c>
      <c r="L33">
        <v>79</v>
      </c>
      <c r="M33" s="1">
        <v>45496</v>
      </c>
      <c r="N33" t="s">
        <v>31</v>
      </c>
    </row>
    <row r="34" spans="1:14" x14ac:dyDescent="0.25">
      <c r="A34" t="s">
        <v>672</v>
      </c>
      <c r="B34" t="s">
        <v>220</v>
      </c>
      <c r="C34" s="1">
        <v>45230</v>
      </c>
      <c r="D34" t="s">
        <v>660</v>
      </c>
      <c r="E34">
        <v>8</v>
      </c>
      <c r="F34">
        <v>90</v>
      </c>
      <c r="G34">
        <v>720</v>
      </c>
      <c r="H34" t="s">
        <v>636</v>
      </c>
      <c r="I34" t="s">
        <v>56</v>
      </c>
      <c r="J34" t="s">
        <v>56</v>
      </c>
      <c r="K34" t="s">
        <v>56</v>
      </c>
      <c r="L34">
        <v>191</v>
      </c>
      <c r="M34" s="1">
        <v>45542</v>
      </c>
      <c r="N34" t="s">
        <v>31</v>
      </c>
    </row>
    <row r="35" spans="1:14" x14ac:dyDescent="0.25">
      <c r="A35" t="s">
        <v>673</v>
      </c>
      <c r="B35" t="s">
        <v>217</v>
      </c>
      <c r="C35" s="1">
        <v>44956</v>
      </c>
      <c r="D35" t="s">
        <v>648</v>
      </c>
      <c r="E35">
        <v>7</v>
      </c>
      <c r="F35">
        <v>300</v>
      </c>
      <c r="G35">
        <v>2100</v>
      </c>
      <c r="H35" t="s">
        <v>629</v>
      </c>
      <c r="I35" t="s">
        <v>56</v>
      </c>
      <c r="J35" t="s">
        <v>31</v>
      </c>
      <c r="K35" t="s">
        <v>31</v>
      </c>
      <c r="L35">
        <v>36</v>
      </c>
      <c r="M35" s="1">
        <v>45448</v>
      </c>
      <c r="N35" t="s">
        <v>31</v>
      </c>
    </row>
    <row r="36" spans="1:14" x14ac:dyDescent="0.25">
      <c r="A36" t="s">
        <v>674</v>
      </c>
      <c r="B36" t="s">
        <v>120</v>
      </c>
      <c r="C36" s="1">
        <v>45232</v>
      </c>
      <c r="D36" t="s">
        <v>634</v>
      </c>
      <c r="E36">
        <v>3</v>
      </c>
      <c r="F36">
        <v>200</v>
      </c>
      <c r="G36">
        <v>600</v>
      </c>
      <c r="H36" t="s">
        <v>632</v>
      </c>
      <c r="I36" t="s">
        <v>56</v>
      </c>
      <c r="J36" t="s">
        <v>56</v>
      </c>
      <c r="K36" t="s">
        <v>56</v>
      </c>
      <c r="L36">
        <v>189</v>
      </c>
      <c r="M36" s="1">
        <v>45589</v>
      </c>
      <c r="N36" t="s">
        <v>31</v>
      </c>
    </row>
    <row r="37" spans="1:14" x14ac:dyDescent="0.25">
      <c r="A37" t="s">
        <v>675</v>
      </c>
      <c r="B37" t="s">
        <v>194</v>
      </c>
      <c r="C37" s="1">
        <v>45182</v>
      </c>
      <c r="D37" t="s">
        <v>650</v>
      </c>
      <c r="E37">
        <v>5</v>
      </c>
      <c r="F37">
        <v>250</v>
      </c>
      <c r="G37">
        <v>1250</v>
      </c>
      <c r="H37" t="s">
        <v>632</v>
      </c>
      <c r="I37" t="s">
        <v>56</v>
      </c>
      <c r="J37" t="s">
        <v>56</v>
      </c>
      <c r="K37" t="s">
        <v>56</v>
      </c>
      <c r="L37">
        <v>141</v>
      </c>
      <c r="M37" s="1">
        <v>45632</v>
      </c>
      <c r="N37" t="s">
        <v>31</v>
      </c>
    </row>
    <row r="38" spans="1:14" x14ac:dyDescent="0.25">
      <c r="A38" t="s">
        <v>676</v>
      </c>
      <c r="B38" t="s">
        <v>179</v>
      </c>
      <c r="C38" s="1">
        <v>45032</v>
      </c>
      <c r="D38" t="s">
        <v>628</v>
      </c>
      <c r="E38">
        <v>2</v>
      </c>
      <c r="F38">
        <v>100</v>
      </c>
      <c r="G38">
        <v>200</v>
      </c>
      <c r="H38" t="s">
        <v>636</v>
      </c>
      <c r="I38" t="s">
        <v>31</v>
      </c>
      <c r="J38" t="s">
        <v>56</v>
      </c>
      <c r="K38" t="s">
        <v>56</v>
      </c>
      <c r="L38">
        <v>56</v>
      </c>
      <c r="M38" s="1">
        <v>44286</v>
      </c>
      <c r="N38" t="s">
        <v>56</v>
      </c>
    </row>
    <row r="39" spans="1:14" x14ac:dyDescent="0.25">
      <c r="A39" t="s">
        <v>677</v>
      </c>
      <c r="B39" t="s">
        <v>101</v>
      </c>
      <c r="C39" s="1">
        <v>45139</v>
      </c>
      <c r="D39" t="s">
        <v>650</v>
      </c>
      <c r="E39">
        <v>5</v>
      </c>
      <c r="F39">
        <v>250</v>
      </c>
      <c r="G39">
        <v>1250</v>
      </c>
      <c r="H39" t="s">
        <v>629</v>
      </c>
      <c r="I39" t="s">
        <v>56</v>
      </c>
      <c r="J39" t="s">
        <v>56</v>
      </c>
      <c r="K39" t="s">
        <v>56</v>
      </c>
      <c r="L39">
        <v>118</v>
      </c>
      <c r="M39" s="1">
        <v>45610</v>
      </c>
      <c r="N39" t="s">
        <v>31</v>
      </c>
    </row>
    <row r="40" spans="1:14" x14ac:dyDescent="0.25">
      <c r="A40" t="s">
        <v>678</v>
      </c>
      <c r="B40" t="s">
        <v>185</v>
      </c>
      <c r="C40" s="1">
        <v>44956</v>
      </c>
      <c r="D40" t="s">
        <v>648</v>
      </c>
      <c r="E40">
        <v>1</v>
      </c>
      <c r="F40">
        <v>300</v>
      </c>
      <c r="G40">
        <v>300</v>
      </c>
      <c r="H40" t="s">
        <v>632</v>
      </c>
      <c r="I40" t="s">
        <v>56</v>
      </c>
      <c r="J40" t="s">
        <v>56</v>
      </c>
      <c r="K40" t="s">
        <v>56</v>
      </c>
      <c r="L40">
        <v>119</v>
      </c>
      <c r="M40" s="1">
        <v>45529</v>
      </c>
      <c r="N40" t="s">
        <v>31</v>
      </c>
    </row>
    <row r="41" spans="1:14" x14ac:dyDescent="0.25">
      <c r="A41" t="s">
        <v>679</v>
      </c>
      <c r="B41" t="s">
        <v>238</v>
      </c>
      <c r="C41" s="1">
        <v>45225</v>
      </c>
      <c r="D41" t="s">
        <v>640</v>
      </c>
      <c r="E41">
        <v>9</v>
      </c>
      <c r="F41">
        <v>120</v>
      </c>
      <c r="G41">
        <v>1080</v>
      </c>
      <c r="H41" t="s">
        <v>629</v>
      </c>
      <c r="I41" t="s">
        <v>31</v>
      </c>
      <c r="J41" t="s">
        <v>56</v>
      </c>
      <c r="K41" t="s">
        <v>56</v>
      </c>
      <c r="L41">
        <v>10</v>
      </c>
      <c r="M41" s="1">
        <v>45522</v>
      </c>
      <c r="N41" t="s">
        <v>31</v>
      </c>
    </row>
    <row r="42" spans="1:14" x14ac:dyDescent="0.25">
      <c r="A42" t="s">
        <v>680</v>
      </c>
      <c r="B42" t="s">
        <v>223</v>
      </c>
      <c r="C42" s="1">
        <v>45004</v>
      </c>
      <c r="D42" t="s">
        <v>650</v>
      </c>
      <c r="E42">
        <v>7</v>
      </c>
      <c r="F42">
        <v>250</v>
      </c>
      <c r="G42">
        <v>1750</v>
      </c>
      <c r="H42" t="s">
        <v>632</v>
      </c>
      <c r="I42" t="s">
        <v>56</v>
      </c>
      <c r="J42" t="s">
        <v>56</v>
      </c>
      <c r="K42" t="s">
        <v>56</v>
      </c>
      <c r="L42">
        <v>88</v>
      </c>
      <c r="M42" s="1">
        <v>45540</v>
      </c>
      <c r="N42" t="s">
        <v>31</v>
      </c>
    </row>
    <row r="43" spans="1:14" x14ac:dyDescent="0.25">
      <c r="A43" t="s">
        <v>681</v>
      </c>
      <c r="B43" t="s">
        <v>517</v>
      </c>
      <c r="C43" s="1">
        <v>45076</v>
      </c>
      <c r="D43" t="s">
        <v>650</v>
      </c>
      <c r="E43">
        <v>10</v>
      </c>
      <c r="F43">
        <v>250</v>
      </c>
      <c r="G43">
        <v>2500</v>
      </c>
      <c r="H43" t="s">
        <v>632</v>
      </c>
      <c r="I43" t="s">
        <v>56</v>
      </c>
      <c r="J43" t="s">
        <v>56</v>
      </c>
      <c r="K43" t="s">
        <v>56</v>
      </c>
      <c r="L43">
        <v>55</v>
      </c>
      <c r="M43" s="1">
        <v>45540</v>
      </c>
      <c r="N43" t="s">
        <v>31</v>
      </c>
    </row>
    <row r="44" spans="1:14" x14ac:dyDescent="0.25">
      <c r="A44" t="s">
        <v>682</v>
      </c>
      <c r="B44" t="s">
        <v>578</v>
      </c>
      <c r="C44" s="1">
        <v>45021</v>
      </c>
      <c r="D44" t="s">
        <v>638</v>
      </c>
      <c r="E44">
        <v>6</v>
      </c>
      <c r="F44">
        <v>150</v>
      </c>
      <c r="G44">
        <v>900</v>
      </c>
      <c r="H44" t="s">
        <v>629</v>
      </c>
      <c r="I44" t="s">
        <v>31</v>
      </c>
      <c r="J44" t="s">
        <v>31</v>
      </c>
      <c r="K44" t="s">
        <v>56</v>
      </c>
      <c r="L44">
        <v>34</v>
      </c>
      <c r="M44" s="1">
        <v>45470</v>
      </c>
      <c r="N44" t="s">
        <v>31</v>
      </c>
    </row>
    <row r="45" spans="1:14" x14ac:dyDescent="0.25">
      <c r="A45" t="s">
        <v>683</v>
      </c>
      <c r="B45" t="s">
        <v>322</v>
      </c>
      <c r="C45" s="1">
        <v>44989</v>
      </c>
      <c r="D45" t="s">
        <v>650</v>
      </c>
      <c r="E45">
        <v>9</v>
      </c>
      <c r="F45">
        <v>250</v>
      </c>
      <c r="G45">
        <v>2250</v>
      </c>
      <c r="H45" t="s">
        <v>629</v>
      </c>
      <c r="I45" t="s">
        <v>56</v>
      </c>
      <c r="J45" t="s">
        <v>56</v>
      </c>
      <c r="K45" t="s">
        <v>56</v>
      </c>
      <c r="L45">
        <v>23</v>
      </c>
      <c r="M45" s="1">
        <v>45520</v>
      </c>
      <c r="N45" t="s">
        <v>31</v>
      </c>
    </row>
    <row r="46" spans="1:14" x14ac:dyDescent="0.25">
      <c r="A46" t="s">
        <v>684</v>
      </c>
      <c r="B46" t="s">
        <v>320</v>
      </c>
      <c r="C46" s="1">
        <v>44936</v>
      </c>
      <c r="D46" t="s">
        <v>634</v>
      </c>
      <c r="E46">
        <v>2</v>
      </c>
      <c r="F46">
        <v>200</v>
      </c>
      <c r="G46">
        <v>400</v>
      </c>
      <c r="H46" t="s">
        <v>636</v>
      </c>
      <c r="I46" t="s">
        <v>56</v>
      </c>
      <c r="J46" t="s">
        <v>56</v>
      </c>
      <c r="K46" t="s">
        <v>56</v>
      </c>
      <c r="L46">
        <v>76</v>
      </c>
      <c r="M46" s="1">
        <v>45636</v>
      </c>
      <c r="N46" t="s">
        <v>31</v>
      </c>
    </row>
    <row r="47" spans="1:14" x14ac:dyDescent="0.25">
      <c r="A47" t="s">
        <v>685</v>
      </c>
      <c r="B47" t="s">
        <v>487</v>
      </c>
      <c r="C47" s="1">
        <v>45225</v>
      </c>
      <c r="D47" t="s">
        <v>628</v>
      </c>
      <c r="E47">
        <v>2</v>
      </c>
      <c r="F47">
        <v>100</v>
      </c>
      <c r="G47">
        <v>200</v>
      </c>
      <c r="H47" t="s">
        <v>632</v>
      </c>
      <c r="I47" t="s">
        <v>31</v>
      </c>
      <c r="J47" t="s">
        <v>56</v>
      </c>
      <c r="K47" t="s">
        <v>56</v>
      </c>
      <c r="L47">
        <v>125</v>
      </c>
      <c r="M47" s="1">
        <v>45529</v>
      </c>
      <c r="N47" t="s">
        <v>31</v>
      </c>
    </row>
    <row r="48" spans="1:14" x14ac:dyDescent="0.25">
      <c r="A48" t="s">
        <v>686</v>
      </c>
      <c r="B48" t="s">
        <v>600</v>
      </c>
      <c r="C48" s="1">
        <v>45043</v>
      </c>
      <c r="D48" t="s">
        <v>660</v>
      </c>
      <c r="E48">
        <v>5</v>
      </c>
      <c r="F48">
        <v>90</v>
      </c>
      <c r="G48">
        <v>450</v>
      </c>
      <c r="H48" t="s">
        <v>632</v>
      </c>
      <c r="I48" t="s">
        <v>56</v>
      </c>
      <c r="J48" t="s">
        <v>56</v>
      </c>
      <c r="K48" t="s">
        <v>56</v>
      </c>
      <c r="L48">
        <v>153</v>
      </c>
      <c r="M48" s="1">
        <v>45569</v>
      </c>
      <c r="N48" t="s">
        <v>31</v>
      </c>
    </row>
    <row r="49" spans="1:14" x14ac:dyDescent="0.25">
      <c r="A49" t="s">
        <v>687</v>
      </c>
      <c r="B49" t="s">
        <v>310</v>
      </c>
      <c r="C49" s="1">
        <v>45106</v>
      </c>
      <c r="D49" t="s">
        <v>634</v>
      </c>
      <c r="E49">
        <v>8</v>
      </c>
      <c r="F49">
        <v>200</v>
      </c>
      <c r="G49">
        <v>1600</v>
      </c>
      <c r="H49" t="s">
        <v>632</v>
      </c>
      <c r="I49" t="s">
        <v>56</v>
      </c>
      <c r="J49" t="s">
        <v>56</v>
      </c>
      <c r="K49" t="s">
        <v>56</v>
      </c>
      <c r="L49">
        <v>89</v>
      </c>
      <c r="M49" s="1">
        <v>45608</v>
      </c>
      <c r="N49" t="s">
        <v>31</v>
      </c>
    </row>
    <row r="50" spans="1:14" x14ac:dyDescent="0.25">
      <c r="A50" t="s">
        <v>688</v>
      </c>
      <c r="B50" t="s">
        <v>203</v>
      </c>
      <c r="C50" s="1">
        <v>44983</v>
      </c>
      <c r="D50" t="s">
        <v>653</v>
      </c>
      <c r="E50">
        <v>2</v>
      </c>
      <c r="F50">
        <v>1200</v>
      </c>
      <c r="G50">
        <v>2400</v>
      </c>
      <c r="H50" t="s">
        <v>629</v>
      </c>
      <c r="I50" t="s">
        <v>56</v>
      </c>
      <c r="J50" t="s">
        <v>56</v>
      </c>
      <c r="K50" t="s">
        <v>56</v>
      </c>
      <c r="L50">
        <v>148</v>
      </c>
      <c r="M50" s="1">
        <v>45539</v>
      </c>
      <c r="N50" t="s">
        <v>31</v>
      </c>
    </row>
    <row r="51" spans="1:14" x14ac:dyDescent="0.25">
      <c r="A51" t="s">
        <v>689</v>
      </c>
      <c r="B51" t="s">
        <v>91</v>
      </c>
      <c r="C51" s="1">
        <v>45189</v>
      </c>
      <c r="D51" t="s">
        <v>660</v>
      </c>
      <c r="E51">
        <v>2</v>
      </c>
      <c r="F51">
        <v>90</v>
      </c>
      <c r="G51">
        <v>180</v>
      </c>
      <c r="H51" t="s">
        <v>636</v>
      </c>
      <c r="I51" t="s">
        <v>56</v>
      </c>
      <c r="J51" t="s">
        <v>56</v>
      </c>
      <c r="K51" t="s">
        <v>56</v>
      </c>
      <c r="L51">
        <v>170</v>
      </c>
      <c r="M51" s="1">
        <v>45601</v>
      </c>
      <c r="N51" t="s">
        <v>31</v>
      </c>
    </row>
    <row r="52" spans="1:14" x14ac:dyDescent="0.25">
      <c r="A52" t="s">
        <v>690</v>
      </c>
      <c r="B52" t="s">
        <v>363</v>
      </c>
      <c r="C52" s="1">
        <v>45222</v>
      </c>
      <c r="D52" t="s">
        <v>640</v>
      </c>
      <c r="E52">
        <v>2</v>
      </c>
      <c r="F52">
        <v>120</v>
      </c>
      <c r="G52">
        <v>240</v>
      </c>
      <c r="H52" t="s">
        <v>636</v>
      </c>
      <c r="I52" t="s">
        <v>31</v>
      </c>
      <c r="J52" t="s">
        <v>56</v>
      </c>
      <c r="K52" t="s">
        <v>56</v>
      </c>
      <c r="L52">
        <v>97</v>
      </c>
      <c r="M52" s="1">
        <v>45495</v>
      </c>
      <c r="N52" t="s">
        <v>31</v>
      </c>
    </row>
    <row r="53" spans="1:14" x14ac:dyDescent="0.25">
      <c r="A53" t="s">
        <v>691</v>
      </c>
      <c r="B53" t="s">
        <v>138</v>
      </c>
      <c r="C53" s="1">
        <v>45096</v>
      </c>
      <c r="D53" t="s">
        <v>692</v>
      </c>
      <c r="E53">
        <v>8</v>
      </c>
      <c r="F53">
        <v>450</v>
      </c>
      <c r="G53">
        <v>3600</v>
      </c>
      <c r="H53" t="s">
        <v>636</v>
      </c>
      <c r="I53" t="s">
        <v>56</v>
      </c>
      <c r="J53" t="s">
        <v>31</v>
      </c>
      <c r="K53" t="s">
        <v>31</v>
      </c>
      <c r="L53">
        <v>43</v>
      </c>
      <c r="M53" s="1">
        <v>45508</v>
      </c>
      <c r="N53" t="s">
        <v>31</v>
      </c>
    </row>
    <row r="54" spans="1:14" x14ac:dyDescent="0.25">
      <c r="A54" t="s">
        <v>693</v>
      </c>
      <c r="B54" t="s">
        <v>153</v>
      </c>
      <c r="C54" s="1">
        <v>45049</v>
      </c>
      <c r="D54" t="s">
        <v>631</v>
      </c>
      <c r="E54">
        <v>3</v>
      </c>
      <c r="F54">
        <v>80</v>
      </c>
      <c r="G54">
        <v>240</v>
      </c>
      <c r="H54" t="s">
        <v>636</v>
      </c>
      <c r="I54" t="s">
        <v>31</v>
      </c>
      <c r="J54" t="s">
        <v>31</v>
      </c>
      <c r="K54" t="s">
        <v>56</v>
      </c>
      <c r="L54">
        <v>142</v>
      </c>
      <c r="M54" s="1">
        <v>45569</v>
      </c>
      <c r="N54" t="s">
        <v>31</v>
      </c>
    </row>
    <row r="55" spans="1:14" x14ac:dyDescent="0.25">
      <c r="A55" t="s">
        <v>694</v>
      </c>
      <c r="B55" t="s">
        <v>304</v>
      </c>
      <c r="C55" s="1">
        <v>45166</v>
      </c>
      <c r="D55" t="s">
        <v>650</v>
      </c>
      <c r="E55">
        <v>3</v>
      </c>
      <c r="F55">
        <v>250</v>
      </c>
      <c r="G55">
        <v>750</v>
      </c>
      <c r="H55" t="s">
        <v>629</v>
      </c>
      <c r="I55" t="s">
        <v>56</v>
      </c>
      <c r="J55" t="s">
        <v>56</v>
      </c>
      <c r="K55" t="s">
        <v>56</v>
      </c>
      <c r="L55">
        <v>142</v>
      </c>
      <c r="M55" s="1">
        <v>45460</v>
      </c>
      <c r="N55" t="s">
        <v>31</v>
      </c>
    </row>
    <row r="56" spans="1:14" x14ac:dyDescent="0.25">
      <c r="A56" t="s">
        <v>695</v>
      </c>
      <c r="B56" t="s">
        <v>254</v>
      </c>
      <c r="C56" s="1">
        <v>45114</v>
      </c>
      <c r="D56" t="s">
        <v>650</v>
      </c>
      <c r="E56">
        <v>5</v>
      </c>
      <c r="F56">
        <v>250</v>
      </c>
      <c r="G56">
        <v>1250</v>
      </c>
      <c r="H56" t="s">
        <v>636</v>
      </c>
      <c r="I56" t="s">
        <v>56</v>
      </c>
      <c r="J56" t="s">
        <v>56</v>
      </c>
      <c r="K56" t="s">
        <v>56</v>
      </c>
      <c r="L56">
        <v>147</v>
      </c>
      <c r="M56" s="1">
        <v>44286</v>
      </c>
      <c r="N56" t="s">
        <v>56</v>
      </c>
    </row>
    <row r="57" spans="1:14" x14ac:dyDescent="0.25">
      <c r="A57" t="s">
        <v>696</v>
      </c>
      <c r="B57" t="s">
        <v>244</v>
      </c>
      <c r="C57" s="1">
        <v>45200</v>
      </c>
      <c r="D57" t="s">
        <v>628</v>
      </c>
      <c r="E57">
        <v>4</v>
      </c>
      <c r="F57">
        <v>100</v>
      </c>
      <c r="G57">
        <v>400</v>
      </c>
      <c r="H57" t="s">
        <v>632</v>
      </c>
      <c r="I57" t="s">
        <v>31</v>
      </c>
      <c r="J57" t="s">
        <v>56</v>
      </c>
      <c r="K57" t="s">
        <v>56</v>
      </c>
      <c r="L57">
        <v>32</v>
      </c>
      <c r="M57" s="1">
        <v>45459</v>
      </c>
      <c r="N57" t="s">
        <v>31</v>
      </c>
    </row>
    <row r="58" spans="1:14" x14ac:dyDescent="0.25">
      <c r="A58" t="s">
        <v>697</v>
      </c>
      <c r="B58" t="s">
        <v>558</v>
      </c>
      <c r="C58" s="1">
        <v>45219</v>
      </c>
      <c r="D58" t="s">
        <v>650</v>
      </c>
      <c r="E58">
        <v>4</v>
      </c>
      <c r="F58">
        <v>250</v>
      </c>
      <c r="G58">
        <v>1000</v>
      </c>
      <c r="H58" t="s">
        <v>632</v>
      </c>
      <c r="I58" t="s">
        <v>56</v>
      </c>
      <c r="J58" t="s">
        <v>56</v>
      </c>
      <c r="K58" t="s">
        <v>56</v>
      </c>
      <c r="L58">
        <v>197</v>
      </c>
      <c r="M58" s="1">
        <v>45478</v>
      </c>
      <c r="N58" t="s">
        <v>31</v>
      </c>
    </row>
    <row r="59" spans="1:14" x14ac:dyDescent="0.25">
      <c r="A59" t="s">
        <v>698</v>
      </c>
      <c r="B59" t="s">
        <v>260</v>
      </c>
      <c r="C59" s="1">
        <v>44942</v>
      </c>
      <c r="D59" t="s">
        <v>638</v>
      </c>
      <c r="E59">
        <v>7</v>
      </c>
      <c r="F59">
        <v>150</v>
      </c>
      <c r="G59">
        <v>1050</v>
      </c>
      <c r="H59" t="s">
        <v>629</v>
      </c>
      <c r="I59" t="s">
        <v>31</v>
      </c>
      <c r="J59" t="s">
        <v>56</v>
      </c>
      <c r="K59" t="s">
        <v>56</v>
      </c>
      <c r="L59">
        <v>50</v>
      </c>
      <c r="M59" s="1">
        <v>45446</v>
      </c>
      <c r="N59" t="s">
        <v>31</v>
      </c>
    </row>
    <row r="60" spans="1:14" x14ac:dyDescent="0.25">
      <c r="A60" t="s">
        <v>699</v>
      </c>
      <c r="B60" t="s">
        <v>531</v>
      </c>
      <c r="C60" s="1">
        <v>45223</v>
      </c>
      <c r="D60" t="s">
        <v>650</v>
      </c>
      <c r="E60">
        <v>4</v>
      </c>
      <c r="F60">
        <v>250</v>
      </c>
      <c r="G60">
        <v>1000</v>
      </c>
      <c r="H60" t="s">
        <v>632</v>
      </c>
      <c r="I60" t="s">
        <v>56</v>
      </c>
      <c r="J60" t="s">
        <v>56</v>
      </c>
      <c r="K60" t="s">
        <v>56</v>
      </c>
      <c r="L60">
        <v>157</v>
      </c>
      <c r="M60" s="1">
        <v>45652</v>
      </c>
      <c r="N60" t="s">
        <v>31</v>
      </c>
    </row>
    <row r="61" spans="1:14" x14ac:dyDescent="0.25">
      <c r="A61" t="s">
        <v>700</v>
      </c>
      <c r="B61" t="s">
        <v>429</v>
      </c>
      <c r="C61" s="1">
        <v>45290</v>
      </c>
      <c r="D61" t="s">
        <v>692</v>
      </c>
      <c r="E61">
        <v>1</v>
      </c>
      <c r="F61">
        <v>450</v>
      </c>
      <c r="G61">
        <v>450</v>
      </c>
      <c r="H61" t="s">
        <v>629</v>
      </c>
      <c r="I61" t="s">
        <v>56</v>
      </c>
      <c r="J61" t="s">
        <v>56</v>
      </c>
      <c r="K61" t="s">
        <v>56</v>
      </c>
      <c r="L61">
        <v>91</v>
      </c>
      <c r="M61" s="1">
        <v>45445</v>
      </c>
      <c r="N61" t="s">
        <v>31</v>
      </c>
    </row>
    <row r="62" spans="1:14" x14ac:dyDescent="0.25">
      <c r="A62" t="s">
        <v>701</v>
      </c>
      <c r="B62" t="s">
        <v>226</v>
      </c>
      <c r="C62" s="1">
        <v>45243</v>
      </c>
      <c r="D62" t="s">
        <v>648</v>
      </c>
      <c r="E62">
        <v>5</v>
      </c>
      <c r="F62">
        <v>300</v>
      </c>
      <c r="G62">
        <v>1500</v>
      </c>
      <c r="H62" t="s">
        <v>636</v>
      </c>
      <c r="I62" t="s">
        <v>56</v>
      </c>
      <c r="J62" t="s">
        <v>56</v>
      </c>
      <c r="K62" t="s">
        <v>56</v>
      </c>
      <c r="L62">
        <v>26</v>
      </c>
      <c r="M62" s="1">
        <v>45651</v>
      </c>
      <c r="N62" t="s">
        <v>31</v>
      </c>
    </row>
    <row r="63" spans="1:14" x14ac:dyDescent="0.25">
      <c r="A63" t="s">
        <v>702</v>
      </c>
      <c r="B63" t="s">
        <v>397</v>
      </c>
      <c r="C63" s="1">
        <v>45230</v>
      </c>
      <c r="D63" t="s">
        <v>648</v>
      </c>
      <c r="E63">
        <v>1</v>
      </c>
      <c r="F63">
        <v>300</v>
      </c>
      <c r="G63">
        <v>300</v>
      </c>
      <c r="H63" t="s">
        <v>636</v>
      </c>
      <c r="I63" t="s">
        <v>56</v>
      </c>
      <c r="J63" t="s">
        <v>56</v>
      </c>
      <c r="K63" t="s">
        <v>56</v>
      </c>
      <c r="L63">
        <v>110</v>
      </c>
      <c r="M63" s="1">
        <v>45640</v>
      </c>
      <c r="N63" t="s">
        <v>31</v>
      </c>
    </row>
    <row r="64" spans="1:14" x14ac:dyDescent="0.25">
      <c r="A64" t="s">
        <v>703</v>
      </c>
      <c r="B64" t="s">
        <v>86</v>
      </c>
      <c r="C64" s="1">
        <v>44972</v>
      </c>
      <c r="D64" t="s">
        <v>650</v>
      </c>
      <c r="E64">
        <v>3</v>
      </c>
      <c r="F64">
        <v>250</v>
      </c>
      <c r="G64">
        <v>750</v>
      </c>
      <c r="H64" t="s">
        <v>632</v>
      </c>
      <c r="I64" t="s">
        <v>56</v>
      </c>
      <c r="J64" t="s">
        <v>56</v>
      </c>
      <c r="K64" t="s">
        <v>56</v>
      </c>
      <c r="L64">
        <v>93</v>
      </c>
      <c r="M64" s="1">
        <v>45631</v>
      </c>
      <c r="N64" t="s">
        <v>31</v>
      </c>
    </row>
    <row r="65" spans="1:14" x14ac:dyDescent="0.25">
      <c r="A65" t="s">
        <v>704</v>
      </c>
      <c r="B65" t="s">
        <v>217</v>
      </c>
      <c r="C65" s="1">
        <v>45028</v>
      </c>
      <c r="D65" t="s">
        <v>650</v>
      </c>
      <c r="E65">
        <v>6</v>
      </c>
      <c r="F65">
        <v>250</v>
      </c>
      <c r="G65">
        <v>1500</v>
      </c>
      <c r="H65" t="s">
        <v>629</v>
      </c>
      <c r="I65" t="s">
        <v>56</v>
      </c>
      <c r="J65" t="s">
        <v>56</v>
      </c>
      <c r="K65" t="s">
        <v>56</v>
      </c>
      <c r="L65">
        <v>22</v>
      </c>
      <c r="M65" s="1">
        <v>45469</v>
      </c>
      <c r="N65" t="s">
        <v>31</v>
      </c>
    </row>
    <row r="66" spans="1:14" x14ac:dyDescent="0.25">
      <c r="A66" t="s">
        <v>705</v>
      </c>
      <c r="B66" t="s">
        <v>407</v>
      </c>
      <c r="C66" s="1">
        <v>44946</v>
      </c>
      <c r="D66" t="s">
        <v>634</v>
      </c>
      <c r="E66">
        <v>9</v>
      </c>
      <c r="F66">
        <v>200</v>
      </c>
      <c r="G66">
        <v>1800</v>
      </c>
      <c r="H66" t="s">
        <v>636</v>
      </c>
      <c r="I66" t="s">
        <v>56</v>
      </c>
      <c r="J66" t="s">
        <v>56</v>
      </c>
      <c r="K66" t="s">
        <v>56</v>
      </c>
      <c r="L66">
        <v>22</v>
      </c>
      <c r="M66" s="1">
        <v>45646</v>
      </c>
      <c r="N66" t="s">
        <v>31</v>
      </c>
    </row>
    <row r="67" spans="1:14" x14ac:dyDescent="0.25">
      <c r="A67" t="s">
        <v>706</v>
      </c>
      <c r="B67" t="s">
        <v>569</v>
      </c>
      <c r="C67" s="1">
        <v>45105</v>
      </c>
      <c r="D67" t="s">
        <v>660</v>
      </c>
      <c r="E67">
        <v>3</v>
      </c>
      <c r="F67">
        <v>90</v>
      </c>
      <c r="G67">
        <v>270</v>
      </c>
      <c r="H67" t="s">
        <v>636</v>
      </c>
      <c r="I67" t="s">
        <v>56</v>
      </c>
      <c r="J67" t="s">
        <v>56</v>
      </c>
      <c r="K67" t="s">
        <v>56</v>
      </c>
      <c r="L67">
        <v>177</v>
      </c>
      <c r="M67" s="1">
        <v>45650</v>
      </c>
      <c r="N67" t="s">
        <v>31</v>
      </c>
    </row>
    <row r="68" spans="1:14" x14ac:dyDescent="0.25">
      <c r="A68" t="s">
        <v>707</v>
      </c>
      <c r="B68" t="s">
        <v>420</v>
      </c>
      <c r="C68" s="1">
        <v>44996</v>
      </c>
      <c r="D68" t="s">
        <v>653</v>
      </c>
      <c r="E68">
        <v>5</v>
      </c>
      <c r="F68">
        <v>1200</v>
      </c>
      <c r="G68">
        <v>6000</v>
      </c>
      <c r="H68" t="s">
        <v>632</v>
      </c>
      <c r="I68" t="s">
        <v>56</v>
      </c>
      <c r="J68" t="s">
        <v>56</v>
      </c>
      <c r="K68" t="s">
        <v>56</v>
      </c>
      <c r="L68">
        <v>195</v>
      </c>
      <c r="M68" s="1">
        <v>45562</v>
      </c>
      <c r="N68" t="s">
        <v>31</v>
      </c>
    </row>
    <row r="69" spans="1:14" x14ac:dyDescent="0.25">
      <c r="A69" t="s">
        <v>708</v>
      </c>
      <c r="B69" t="s">
        <v>545</v>
      </c>
      <c r="C69" s="1">
        <v>45229</v>
      </c>
      <c r="D69" t="s">
        <v>648</v>
      </c>
      <c r="E69">
        <v>7</v>
      </c>
      <c r="F69">
        <v>300</v>
      </c>
      <c r="G69">
        <v>2100</v>
      </c>
      <c r="H69" t="s">
        <v>636</v>
      </c>
      <c r="I69" t="s">
        <v>56</v>
      </c>
      <c r="J69" t="s">
        <v>56</v>
      </c>
      <c r="K69" t="s">
        <v>56</v>
      </c>
      <c r="L69">
        <v>168</v>
      </c>
      <c r="M69" s="1">
        <v>45654</v>
      </c>
      <c r="N69" t="s">
        <v>31</v>
      </c>
    </row>
    <row r="70" spans="1:14" x14ac:dyDescent="0.25">
      <c r="A70" t="s">
        <v>709</v>
      </c>
      <c r="B70" t="s">
        <v>429</v>
      </c>
      <c r="C70" s="1">
        <v>45080</v>
      </c>
      <c r="D70" t="s">
        <v>660</v>
      </c>
      <c r="E70">
        <v>9</v>
      </c>
      <c r="F70">
        <v>90</v>
      </c>
      <c r="G70">
        <v>810</v>
      </c>
      <c r="H70" t="s">
        <v>629</v>
      </c>
      <c r="I70" t="s">
        <v>56</v>
      </c>
      <c r="J70" t="s">
        <v>56</v>
      </c>
      <c r="K70" t="s">
        <v>56</v>
      </c>
      <c r="L70">
        <v>166</v>
      </c>
      <c r="M70" s="1">
        <v>45446</v>
      </c>
      <c r="N70" t="s">
        <v>31</v>
      </c>
    </row>
    <row r="71" spans="1:14" x14ac:dyDescent="0.25">
      <c r="A71" t="s">
        <v>710</v>
      </c>
      <c r="B71" t="s">
        <v>251</v>
      </c>
      <c r="C71" s="1">
        <v>45045</v>
      </c>
      <c r="D71" t="s">
        <v>650</v>
      </c>
      <c r="E71">
        <v>4</v>
      </c>
      <c r="F71">
        <v>250</v>
      </c>
      <c r="G71">
        <v>1000</v>
      </c>
      <c r="H71" t="s">
        <v>629</v>
      </c>
      <c r="I71" t="s">
        <v>56</v>
      </c>
      <c r="J71" t="s">
        <v>56</v>
      </c>
      <c r="K71" t="s">
        <v>56</v>
      </c>
      <c r="L71">
        <v>122</v>
      </c>
      <c r="M71" s="1">
        <v>45573</v>
      </c>
      <c r="N71" t="s">
        <v>31</v>
      </c>
    </row>
    <row r="72" spans="1:14" x14ac:dyDescent="0.25">
      <c r="A72" t="s">
        <v>711</v>
      </c>
      <c r="B72" t="s">
        <v>417</v>
      </c>
      <c r="C72" s="1">
        <v>45221</v>
      </c>
      <c r="D72" t="s">
        <v>692</v>
      </c>
      <c r="E72">
        <v>7</v>
      </c>
      <c r="F72">
        <v>450</v>
      </c>
      <c r="G72">
        <v>3150</v>
      </c>
      <c r="H72" t="s">
        <v>629</v>
      </c>
      <c r="I72" t="s">
        <v>56</v>
      </c>
      <c r="J72" t="s">
        <v>31</v>
      </c>
      <c r="K72" t="s">
        <v>31</v>
      </c>
      <c r="L72">
        <v>106</v>
      </c>
      <c r="M72" s="1">
        <v>45647</v>
      </c>
      <c r="N72" t="s">
        <v>31</v>
      </c>
    </row>
    <row r="73" spans="1:14" x14ac:dyDescent="0.25">
      <c r="A73" t="s">
        <v>712</v>
      </c>
      <c r="B73" t="s">
        <v>545</v>
      </c>
      <c r="C73" s="1">
        <v>45102</v>
      </c>
      <c r="D73" t="s">
        <v>638</v>
      </c>
      <c r="E73">
        <v>7</v>
      </c>
      <c r="F73">
        <v>150</v>
      </c>
      <c r="G73">
        <v>1050</v>
      </c>
      <c r="H73" t="s">
        <v>632</v>
      </c>
      <c r="I73" t="s">
        <v>31</v>
      </c>
      <c r="J73" t="s">
        <v>56</v>
      </c>
      <c r="K73" t="s">
        <v>56</v>
      </c>
      <c r="L73">
        <v>172</v>
      </c>
      <c r="M73" s="1">
        <v>45623</v>
      </c>
      <c r="N73" t="s">
        <v>31</v>
      </c>
    </row>
    <row r="74" spans="1:14" x14ac:dyDescent="0.25">
      <c r="A74" t="s">
        <v>713</v>
      </c>
      <c r="B74" t="s">
        <v>312</v>
      </c>
      <c r="C74" s="1">
        <v>45266</v>
      </c>
      <c r="D74" t="s">
        <v>660</v>
      </c>
      <c r="E74">
        <v>7</v>
      </c>
      <c r="F74">
        <v>90</v>
      </c>
      <c r="G74">
        <v>630</v>
      </c>
      <c r="H74" t="s">
        <v>636</v>
      </c>
      <c r="I74" t="s">
        <v>56</v>
      </c>
      <c r="J74" t="s">
        <v>56</v>
      </c>
      <c r="K74" t="s">
        <v>56</v>
      </c>
      <c r="L74">
        <v>6</v>
      </c>
      <c r="M74" s="1">
        <v>45520</v>
      </c>
      <c r="N74" t="s">
        <v>31</v>
      </c>
    </row>
    <row r="75" spans="1:14" x14ac:dyDescent="0.25">
      <c r="A75" t="s">
        <v>714</v>
      </c>
      <c r="B75" t="s">
        <v>489</v>
      </c>
      <c r="C75" s="1">
        <v>44935</v>
      </c>
      <c r="D75" t="s">
        <v>631</v>
      </c>
      <c r="E75">
        <v>8</v>
      </c>
      <c r="F75">
        <v>80</v>
      </c>
      <c r="G75">
        <v>640</v>
      </c>
      <c r="H75" t="s">
        <v>636</v>
      </c>
      <c r="I75" t="s">
        <v>31</v>
      </c>
      <c r="J75" t="s">
        <v>31</v>
      </c>
      <c r="K75" t="s">
        <v>56</v>
      </c>
      <c r="L75">
        <v>159</v>
      </c>
      <c r="M75" s="1">
        <v>44286</v>
      </c>
      <c r="N75" t="s">
        <v>56</v>
      </c>
    </row>
    <row r="76" spans="1:14" x14ac:dyDescent="0.25">
      <c r="A76" t="s">
        <v>715</v>
      </c>
      <c r="B76" t="s">
        <v>179</v>
      </c>
      <c r="C76" s="1">
        <v>45098</v>
      </c>
      <c r="D76" t="s">
        <v>628</v>
      </c>
      <c r="E76">
        <v>4</v>
      </c>
      <c r="F76">
        <v>100</v>
      </c>
      <c r="G76">
        <v>400</v>
      </c>
      <c r="H76" t="s">
        <v>632</v>
      </c>
      <c r="I76" t="s">
        <v>31</v>
      </c>
      <c r="J76" t="s">
        <v>31</v>
      </c>
      <c r="K76" t="s">
        <v>56</v>
      </c>
      <c r="L76">
        <v>105</v>
      </c>
      <c r="M76" s="1">
        <v>45641</v>
      </c>
      <c r="N76" t="s">
        <v>31</v>
      </c>
    </row>
    <row r="77" spans="1:14" x14ac:dyDescent="0.25">
      <c r="A77" t="s">
        <v>716</v>
      </c>
      <c r="B77" t="s">
        <v>500</v>
      </c>
      <c r="C77" s="1">
        <v>44943</v>
      </c>
      <c r="D77" t="s">
        <v>653</v>
      </c>
      <c r="E77">
        <v>6</v>
      </c>
      <c r="F77">
        <v>1200</v>
      </c>
      <c r="G77">
        <v>7200</v>
      </c>
      <c r="H77" t="s">
        <v>632</v>
      </c>
      <c r="I77" t="s">
        <v>56</v>
      </c>
      <c r="J77" t="s">
        <v>56</v>
      </c>
      <c r="K77" t="s">
        <v>56</v>
      </c>
      <c r="L77">
        <v>74</v>
      </c>
      <c r="M77" s="1">
        <v>45496</v>
      </c>
      <c r="N77" t="s">
        <v>31</v>
      </c>
    </row>
    <row r="78" spans="1:14" x14ac:dyDescent="0.25">
      <c r="A78" t="s">
        <v>717</v>
      </c>
      <c r="B78" t="s">
        <v>382</v>
      </c>
      <c r="C78" s="1">
        <v>45135</v>
      </c>
      <c r="D78" t="s">
        <v>628</v>
      </c>
      <c r="E78">
        <v>4</v>
      </c>
      <c r="F78">
        <v>100</v>
      </c>
      <c r="G78">
        <v>400</v>
      </c>
      <c r="H78" t="s">
        <v>632</v>
      </c>
      <c r="I78" t="s">
        <v>31</v>
      </c>
      <c r="J78" t="s">
        <v>56</v>
      </c>
      <c r="K78" t="s">
        <v>56</v>
      </c>
      <c r="L78">
        <v>179</v>
      </c>
      <c r="M78" s="1">
        <v>45598</v>
      </c>
      <c r="N78" t="s">
        <v>31</v>
      </c>
    </row>
    <row r="79" spans="1:14" x14ac:dyDescent="0.25">
      <c r="A79" t="s">
        <v>718</v>
      </c>
      <c r="B79" t="s">
        <v>338</v>
      </c>
      <c r="C79" s="1">
        <v>45021</v>
      </c>
      <c r="D79" t="s">
        <v>638</v>
      </c>
      <c r="E79">
        <v>5</v>
      </c>
      <c r="F79">
        <v>150</v>
      </c>
      <c r="G79">
        <v>750</v>
      </c>
      <c r="H79" t="s">
        <v>636</v>
      </c>
      <c r="I79" t="s">
        <v>31</v>
      </c>
      <c r="J79" t="s">
        <v>56</v>
      </c>
      <c r="K79" t="s">
        <v>56</v>
      </c>
      <c r="L79">
        <v>97</v>
      </c>
      <c r="M79" s="1">
        <v>45481</v>
      </c>
      <c r="N79" t="s">
        <v>31</v>
      </c>
    </row>
    <row r="80" spans="1:14" x14ac:dyDescent="0.25">
      <c r="A80" t="s">
        <v>719</v>
      </c>
      <c r="B80" t="s">
        <v>320</v>
      </c>
      <c r="C80" s="1">
        <v>45239</v>
      </c>
      <c r="D80" t="s">
        <v>638</v>
      </c>
      <c r="E80">
        <v>5</v>
      </c>
      <c r="F80">
        <v>150</v>
      </c>
      <c r="G80">
        <v>750</v>
      </c>
      <c r="H80" t="s">
        <v>636</v>
      </c>
      <c r="I80" t="s">
        <v>31</v>
      </c>
      <c r="J80" t="s">
        <v>56</v>
      </c>
      <c r="K80" t="s">
        <v>56</v>
      </c>
      <c r="L80">
        <v>46</v>
      </c>
      <c r="M80" s="1">
        <v>45552</v>
      </c>
      <c r="N80" t="s">
        <v>31</v>
      </c>
    </row>
    <row r="81" spans="1:14" x14ac:dyDescent="0.25">
      <c r="A81" t="s">
        <v>720</v>
      </c>
      <c r="B81" t="s">
        <v>42</v>
      </c>
      <c r="C81" s="1">
        <v>44927</v>
      </c>
      <c r="D81" t="s">
        <v>648</v>
      </c>
      <c r="E81">
        <v>2</v>
      </c>
      <c r="F81">
        <v>300</v>
      </c>
      <c r="G81">
        <v>600</v>
      </c>
      <c r="H81" t="s">
        <v>632</v>
      </c>
      <c r="I81" t="s">
        <v>56</v>
      </c>
      <c r="J81" t="s">
        <v>56</v>
      </c>
      <c r="K81" t="s">
        <v>56</v>
      </c>
      <c r="L81">
        <v>121</v>
      </c>
      <c r="M81" s="1">
        <v>45591</v>
      </c>
      <c r="N81" t="s">
        <v>31</v>
      </c>
    </row>
    <row r="82" spans="1:14" x14ac:dyDescent="0.25">
      <c r="A82" t="s">
        <v>721</v>
      </c>
      <c r="B82" t="s">
        <v>529</v>
      </c>
      <c r="C82" s="1">
        <v>45055</v>
      </c>
      <c r="D82" t="s">
        <v>640</v>
      </c>
      <c r="E82">
        <v>2</v>
      </c>
      <c r="F82">
        <v>120</v>
      </c>
      <c r="G82">
        <v>240</v>
      </c>
      <c r="H82" t="s">
        <v>629</v>
      </c>
      <c r="I82" t="s">
        <v>31</v>
      </c>
      <c r="J82" t="s">
        <v>31</v>
      </c>
      <c r="K82" t="s">
        <v>56</v>
      </c>
      <c r="L82">
        <v>39</v>
      </c>
      <c r="M82" s="1">
        <v>45635</v>
      </c>
      <c r="N82" t="s">
        <v>31</v>
      </c>
    </row>
    <row r="83" spans="1:14" x14ac:dyDescent="0.25">
      <c r="A83" t="s">
        <v>722</v>
      </c>
      <c r="B83" t="s">
        <v>534</v>
      </c>
      <c r="C83" s="1">
        <v>45140</v>
      </c>
      <c r="D83" t="s">
        <v>631</v>
      </c>
      <c r="E83">
        <v>9</v>
      </c>
      <c r="F83">
        <v>80</v>
      </c>
      <c r="G83">
        <v>720</v>
      </c>
      <c r="H83" t="s">
        <v>636</v>
      </c>
      <c r="I83" t="s">
        <v>31</v>
      </c>
      <c r="J83" t="s">
        <v>31</v>
      </c>
      <c r="K83" t="s">
        <v>56</v>
      </c>
      <c r="L83">
        <v>80</v>
      </c>
      <c r="M83" s="1">
        <v>45514</v>
      </c>
      <c r="N83" t="s">
        <v>31</v>
      </c>
    </row>
    <row r="84" spans="1:14" x14ac:dyDescent="0.25">
      <c r="A84" t="s">
        <v>723</v>
      </c>
      <c r="B84" t="s">
        <v>531</v>
      </c>
      <c r="C84" s="1">
        <v>45290</v>
      </c>
      <c r="D84" t="s">
        <v>638</v>
      </c>
      <c r="E84">
        <v>9</v>
      </c>
      <c r="F84">
        <v>150</v>
      </c>
      <c r="G84">
        <v>1350</v>
      </c>
      <c r="H84" t="s">
        <v>629</v>
      </c>
      <c r="I84" t="s">
        <v>31</v>
      </c>
      <c r="J84" t="s">
        <v>56</v>
      </c>
      <c r="K84" t="s">
        <v>56</v>
      </c>
      <c r="L84">
        <v>172</v>
      </c>
      <c r="M84" s="1">
        <v>45551</v>
      </c>
      <c r="N84" t="s">
        <v>31</v>
      </c>
    </row>
    <row r="85" spans="1:14" x14ac:dyDescent="0.25">
      <c r="A85" t="s">
        <v>724</v>
      </c>
      <c r="B85" t="s">
        <v>329</v>
      </c>
      <c r="C85" s="1">
        <v>45281</v>
      </c>
      <c r="D85" t="s">
        <v>692</v>
      </c>
      <c r="E85">
        <v>1</v>
      </c>
      <c r="F85">
        <v>450</v>
      </c>
      <c r="G85">
        <v>450</v>
      </c>
      <c r="H85" t="s">
        <v>629</v>
      </c>
      <c r="I85" t="s">
        <v>56</v>
      </c>
      <c r="J85" t="s">
        <v>56</v>
      </c>
      <c r="K85" t="s">
        <v>56</v>
      </c>
      <c r="L85">
        <v>35</v>
      </c>
      <c r="M85" s="1">
        <v>45578</v>
      </c>
      <c r="N85" t="s">
        <v>31</v>
      </c>
    </row>
    <row r="86" spans="1:14" x14ac:dyDescent="0.25">
      <c r="A86" t="s">
        <v>725</v>
      </c>
      <c r="B86" t="s">
        <v>171</v>
      </c>
      <c r="C86" s="1">
        <v>44930</v>
      </c>
      <c r="D86" t="s">
        <v>653</v>
      </c>
      <c r="E86">
        <v>3</v>
      </c>
      <c r="F86">
        <v>1200</v>
      </c>
      <c r="G86">
        <v>3600</v>
      </c>
      <c r="H86" t="s">
        <v>632</v>
      </c>
      <c r="I86" t="s">
        <v>56</v>
      </c>
      <c r="J86" t="s">
        <v>56</v>
      </c>
      <c r="K86" t="s">
        <v>56</v>
      </c>
      <c r="L86">
        <v>155</v>
      </c>
      <c r="M86" s="1">
        <v>45582</v>
      </c>
      <c r="N86" t="s">
        <v>31</v>
      </c>
    </row>
    <row r="87" spans="1:14" x14ac:dyDescent="0.25">
      <c r="A87" t="s">
        <v>726</v>
      </c>
      <c r="B87" t="s">
        <v>94</v>
      </c>
      <c r="C87" s="1">
        <v>45127</v>
      </c>
      <c r="D87" t="s">
        <v>648</v>
      </c>
      <c r="E87">
        <v>10</v>
      </c>
      <c r="F87">
        <v>300</v>
      </c>
      <c r="G87">
        <v>3000</v>
      </c>
      <c r="H87" t="s">
        <v>629</v>
      </c>
      <c r="I87" t="s">
        <v>56</v>
      </c>
      <c r="J87" t="s">
        <v>56</v>
      </c>
      <c r="K87" t="s">
        <v>56</v>
      </c>
      <c r="L87">
        <v>76</v>
      </c>
      <c r="M87" s="1">
        <v>45621</v>
      </c>
      <c r="N87" t="s">
        <v>31</v>
      </c>
    </row>
    <row r="88" spans="1:14" x14ac:dyDescent="0.25">
      <c r="A88" t="s">
        <v>727</v>
      </c>
      <c r="B88" t="s">
        <v>244</v>
      </c>
      <c r="C88" s="1">
        <v>45076</v>
      </c>
      <c r="D88" t="s">
        <v>628</v>
      </c>
      <c r="E88">
        <v>1</v>
      </c>
      <c r="F88">
        <v>100</v>
      </c>
      <c r="G88">
        <v>100</v>
      </c>
      <c r="H88" t="s">
        <v>636</v>
      </c>
      <c r="I88" t="s">
        <v>31</v>
      </c>
      <c r="J88" t="s">
        <v>31</v>
      </c>
      <c r="K88" t="s">
        <v>56</v>
      </c>
      <c r="L88">
        <v>171</v>
      </c>
      <c r="M88" s="1">
        <v>45469</v>
      </c>
      <c r="N88" t="s">
        <v>31</v>
      </c>
    </row>
    <row r="89" spans="1:14" x14ac:dyDescent="0.25">
      <c r="A89" t="s">
        <v>728</v>
      </c>
      <c r="B89" t="s">
        <v>542</v>
      </c>
      <c r="C89" s="1">
        <v>45254</v>
      </c>
      <c r="D89" t="s">
        <v>638</v>
      </c>
      <c r="E89">
        <v>8</v>
      </c>
      <c r="F89">
        <v>150</v>
      </c>
      <c r="G89">
        <v>1200</v>
      </c>
      <c r="H89" t="s">
        <v>629</v>
      </c>
      <c r="I89" t="s">
        <v>31</v>
      </c>
      <c r="J89" t="s">
        <v>31</v>
      </c>
      <c r="K89" t="s">
        <v>56</v>
      </c>
      <c r="L89">
        <v>181</v>
      </c>
      <c r="M89" s="1">
        <v>45515</v>
      </c>
      <c r="N89" t="s">
        <v>31</v>
      </c>
    </row>
    <row r="90" spans="1:14" x14ac:dyDescent="0.25">
      <c r="A90" t="s">
        <v>729</v>
      </c>
      <c r="B90" t="s">
        <v>191</v>
      </c>
      <c r="C90" s="1">
        <v>45221</v>
      </c>
      <c r="D90" t="s">
        <v>634</v>
      </c>
      <c r="E90">
        <v>1</v>
      </c>
      <c r="F90">
        <v>200</v>
      </c>
      <c r="G90">
        <v>200</v>
      </c>
      <c r="H90" t="s">
        <v>629</v>
      </c>
      <c r="I90" t="s">
        <v>56</v>
      </c>
      <c r="J90" t="s">
        <v>56</v>
      </c>
      <c r="K90" t="s">
        <v>56</v>
      </c>
      <c r="L90">
        <v>93</v>
      </c>
      <c r="M90" s="1">
        <v>45480</v>
      </c>
      <c r="N90" t="s">
        <v>31</v>
      </c>
    </row>
    <row r="91" spans="1:14" x14ac:dyDescent="0.25">
      <c r="A91" t="s">
        <v>730</v>
      </c>
      <c r="B91" t="s">
        <v>432</v>
      </c>
      <c r="C91" s="1">
        <v>44958</v>
      </c>
      <c r="D91" t="s">
        <v>648</v>
      </c>
      <c r="E91">
        <v>5</v>
      </c>
      <c r="F91">
        <v>300</v>
      </c>
      <c r="G91">
        <v>1500</v>
      </c>
      <c r="H91" t="s">
        <v>629</v>
      </c>
      <c r="I91" t="s">
        <v>56</v>
      </c>
      <c r="J91" t="s">
        <v>56</v>
      </c>
      <c r="K91" t="s">
        <v>56</v>
      </c>
      <c r="L91">
        <v>138</v>
      </c>
      <c r="M91" s="1">
        <v>45495</v>
      </c>
      <c r="N91" t="s">
        <v>31</v>
      </c>
    </row>
    <row r="92" spans="1:14" x14ac:dyDescent="0.25">
      <c r="A92" t="s">
        <v>731</v>
      </c>
      <c r="B92" t="s">
        <v>293</v>
      </c>
      <c r="C92" s="1">
        <v>44954</v>
      </c>
      <c r="D92" t="s">
        <v>660</v>
      </c>
      <c r="E92">
        <v>5</v>
      </c>
      <c r="F92">
        <v>90</v>
      </c>
      <c r="G92">
        <v>450</v>
      </c>
      <c r="H92" t="s">
        <v>636</v>
      </c>
      <c r="I92" t="s">
        <v>56</v>
      </c>
      <c r="J92" t="s">
        <v>56</v>
      </c>
      <c r="K92" t="s">
        <v>56</v>
      </c>
      <c r="L92">
        <v>97</v>
      </c>
      <c r="M92" s="1">
        <v>45602</v>
      </c>
      <c r="N92" t="s">
        <v>31</v>
      </c>
    </row>
    <row r="93" spans="1:14" x14ac:dyDescent="0.25">
      <c r="A93" t="s">
        <v>732</v>
      </c>
      <c r="B93" t="s">
        <v>266</v>
      </c>
      <c r="C93" s="1">
        <v>45085</v>
      </c>
      <c r="D93" t="s">
        <v>634</v>
      </c>
      <c r="E93">
        <v>4</v>
      </c>
      <c r="F93">
        <v>200</v>
      </c>
      <c r="G93">
        <v>800</v>
      </c>
      <c r="H93" t="s">
        <v>629</v>
      </c>
      <c r="I93" t="s">
        <v>56</v>
      </c>
      <c r="J93" t="s">
        <v>56</v>
      </c>
      <c r="K93" t="s">
        <v>56</v>
      </c>
      <c r="L93">
        <v>87</v>
      </c>
      <c r="M93" s="1">
        <v>45548</v>
      </c>
      <c r="N93" t="s">
        <v>31</v>
      </c>
    </row>
    <row r="94" spans="1:14" x14ac:dyDescent="0.25">
      <c r="A94" t="s">
        <v>733</v>
      </c>
      <c r="B94" t="s">
        <v>153</v>
      </c>
      <c r="C94" s="1">
        <v>45275</v>
      </c>
      <c r="D94" t="s">
        <v>653</v>
      </c>
      <c r="E94">
        <v>6</v>
      </c>
      <c r="F94">
        <v>1200</v>
      </c>
      <c r="G94">
        <v>7200</v>
      </c>
      <c r="H94" t="s">
        <v>636</v>
      </c>
      <c r="I94" t="s">
        <v>56</v>
      </c>
      <c r="J94" t="s">
        <v>56</v>
      </c>
      <c r="K94" t="s">
        <v>56</v>
      </c>
      <c r="L94">
        <v>86</v>
      </c>
      <c r="M94" s="1">
        <v>44286</v>
      </c>
      <c r="N94" t="s">
        <v>56</v>
      </c>
    </row>
    <row r="95" spans="1:14" x14ac:dyDescent="0.25">
      <c r="A95" t="s">
        <v>734</v>
      </c>
      <c r="B95" t="s">
        <v>401</v>
      </c>
      <c r="C95" s="1">
        <v>45063</v>
      </c>
      <c r="D95" t="s">
        <v>631</v>
      </c>
      <c r="E95">
        <v>4</v>
      </c>
      <c r="F95">
        <v>80</v>
      </c>
      <c r="G95">
        <v>320</v>
      </c>
      <c r="H95" t="s">
        <v>629</v>
      </c>
      <c r="I95" t="s">
        <v>31</v>
      </c>
      <c r="J95" t="s">
        <v>31</v>
      </c>
      <c r="K95" t="s">
        <v>56</v>
      </c>
      <c r="L95">
        <v>133</v>
      </c>
      <c r="M95" s="1">
        <v>45640</v>
      </c>
      <c r="N95" t="s">
        <v>31</v>
      </c>
    </row>
    <row r="96" spans="1:14" x14ac:dyDescent="0.25">
      <c r="A96" t="s">
        <v>735</v>
      </c>
      <c r="B96" t="s">
        <v>514</v>
      </c>
      <c r="C96" s="1">
        <v>45008</v>
      </c>
      <c r="D96" t="s">
        <v>640</v>
      </c>
      <c r="E96">
        <v>1</v>
      </c>
      <c r="F96">
        <v>120</v>
      </c>
      <c r="G96">
        <v>120</v>
      </c>
      <c r="H96" t="s">
        <v>632</v>
      </c>
      <c r="I96" t="s">
        <v>31</v>
      </c>
      <c r="J96" t="s">
        <v>31</v>
      </c>
      <c r="K96" t="s">
        <v>56</v>
      </c>
      <c r="L96">
        <v>198</v>
      </c>
      <c r="M96" s="1">
        <v>45581</v>
      </c>
      <c r="N96" t="s">
        <v>31</v>
      </c>
    </row>
    <row r="97" spans="1:14" x14ac:dyDescent="0.25">
      <c r="A97" t="s">
        <v>736</v>
      </c>
      <c r="B97" t="s">
        <v>531</v>
      </c>
      <c r="C97" s="1">
        <v>45213</v>
      </c>
      <c r="D97" t="s">
        <v>638</v>
      </c>
      <c r="E97">
        <v>2</v>
      </c>
      <c r="F97">
        <v>150</v>
      </c>
      <c r="G97">
        <v>300</v>
      </c>
      <c r="H97" t="s">
        <v>636</v>
      </c>
      <c r="I97" t="s">
        <v>31</v>
      </c>
      <c r="J97" t="s">
        <v>31</v>
      </c>
      <c r="K97" t="s">
        <v>56</v>
      </c>
      <c r="L97">
        <v>97</v>
      </c>
      <c r="M97" s="1">
        <v>45609</v>
      </c>
      <c r="N97" t="s">
        <v>31</v>
      </c>
    </row>
    <row r="98" spans="1:14" x14ac:dyDescent="0.25">
      <c r="A98" t="s">
        <v>737</v>
      </c>
      <c r="B98" t="s">
        <v>440</v>
      </c>
      <c r="C98" s="1">
        <v>45074</v>
      </c>
      <c r="D98" t="s">
        <v>631</v>
      </c>
      <c r="E98">
        <v>5</v>
      </c>
      <c r="F98">
        <v>80</v>
      </c>
      <c r="G98">
        <v>400</v>
      </c>
      <c r="H98" t="s">
        <v>636</v>
      </c>
      <c r="I98" t="s">
        <v>31</v>
      </c>
      <c r="J98" t="s">
        <v>56</v>
      </c>
      <c r="K98" t="s">
        <v>56</v>
      </c>
      <c r="L98">
        <v>15</v>
      </c>
      <c r="M98" s="1">
        <v>45592</v>
      </c>
      <c r="N98" t="s">
        <v>31</v>
      </c>
    </row>
    <row r="99" spans="1:14" x14ac:dyDescent="0.25">
      <c r="A99" t="s">
        <v>738</v>
      </c>
      <c r="B99" t="s">
        <v>555</v>
      </c>
      <c r="C99" s="1">
        <v>45217</v>
      </c>
      <c r="D99" t="s">
        <v>653</v>
      </c>
      <c r="E99">
        <v>6</v>
      </c>
      <c r="F99">
        <v>1200</v>
      </c>
      <c r="G99">
        <v>7200</v>
      </c>
      <c r="H99" t="s">
        <v>629</v>
      </c>
      <c r="I99" t="s">
        <v>56</v>
      </c>
      <c r="J99" t="s">
        <v>56</v>
      </c>
      <c r="K99" t="s">
        <v>56</v>
      </c>
      <c r="L99">
        <v>97</v>
      </c>
      <c r="M99" s="1">
        <v>45512</v>
      </c>
      <c r="N99" t="s">
        <v>31</v>
      </c>
    </row>
    <row r="100" spans="1:14" x14ac:dyDescent="0.25">
      <c r="A100" t="s">
        <v>739</v>
      </c>
      <c r="B100" t="s">
        <v>114</v>
      </c>
      <c r="C100" s="1">
        <v>45207</v>
      </c>
      <c r="D100" t="s">
        <v>631</v>
      </c>
      <c r="E100">
        <v>10</v>
      </c>
      <c r="F100">
        <v>80</v>
      </c>
      <c r="G100">
        <v>800</v>
      </c>
      <c r="H100" t="s">
        <v>629</v>
      </c>
      <c r="I100" t="s">
        <v>31</v>
      </c>
      <c r="J100" t="s">
        <v>31</v>
      </c>
      <c r="K100" t="s">
        <v>56</v>
      </c>
      <c r="L100">
        <v>187</v>
      </c>
      <c r="M100" s="1">
        <v>45453</v>
      </c>
      <c r="N100" t="s">
        <v>31</v>
      </c>
    </row>
    <row r="101" spans="1:14" x14ac:dyDescent="0.25">
      <c r="A101" t="s">
        <v>740</v>
      </c>
      <c r="B101" t="s">
        <v>194</v>
      </c>
      <c r="C101" s="1">
        <v>45257</v>
      </c>
      <c r="D101" t="s">
        <v>648</v>
      </c>
      <c r="E101">
        <v>2</v>
      </c>
      <c r="F101">
        <v>300</v>
      </c>
      <c r="G101">
        <v>600</v>
      </c>
      <c r="H101" t="s">
        <v>636</v>
      </c>
      <c r="I101" t="s">
        <v>56</v>
      </c>
      <c r="J101" t="s">
        <v>56</v>
      </c>
      <c r="K101" t="s">
        <v>56</v>
      </c>
      <c r="L101">
        <v>105</v>
      </c>
      <c r="M101" s="1">
        <v>45652</v>
      </c>
      <c r="N101" t="s">
        <v>31</v>
      </c>
    </row>
    <row r="102" spans="1:14" x14ac:dyDescent="0.25">
      <c r="A102" t="s">
        <v>741</v>
      </c>
      <c r="B102" t="s">
        <v>589</v>
      </c>
      <c r="C102" s="1">
        <v>45101</v>
      </c>
      <c r="D102" t="s">
        <v>638</v>
      </c>
      <c r="E102">
        <v>7</v>
      </c>
      <c r="F102">
        <v>150</v>
      </c>
      <c r="G102">
        <v>1050</v>
      </c>
      <c r="H102" t="s">
        <v>636</v>
      </c>
      <c r="I102" t="s">
        <v>31</v>
      </c>
      <c r="J102" t="s">
        <v>31</v>
      </c>
      <c r="K102" t="s">
        <v>56</v>
      </c>
      <c r="L102">
        <v>94</v>
      </c>
      <c r="M102" s="1">
        <v>45632</v>
      </c>
      <c r="N102" t="s">
        <v>31</v>
      </c>
    </row>
    <row r="103" spans="1:14" x14ac:dyDescent="0.25">
      <c r="A103" t="s">
        <v>742</v>
      </c>
      <c r="B103" t="s">
        <v>566</v>
      </c>
      <c r="C103" s="1">
        <v>45000</v>
      </c>
      <c r="D103" t="s">
        <v>628</v>
      </c>
      <c r="E103">
        <v>9</v>
      </c>
      <c r="F103">
        <v>100</v>
      </c>
      <c r="G103">
        <v>900</v>
      </c>
      <c r="H103" t="s">
        <v>636</v>
      </c>
      <c r="I103" t="s">
        <v>31</v>
      </c>
      <c r="J103" t="s">
        <v>31</v>
      </c>
      <c r="K103" t="s">
        <v>56</v>
      </c>
      <c r="L103">
        <v>39</v>
      </c>
      <c r="M103" s="1">
        <v>45484</v>
      </c>
      <c r="N103" t="s">
        <v>31</v>
      </c>
    </row>
    <row r="104" spans="1:14" x14ac:dyDescent="0.25">
      <c r="A104" t="s">
        <v>743</v>
      </c>
      <c r="B104" t="s">
        <v>545</v>
      </c>
      <c r="C104" s="1">
        <v>44960</v>
      </c>
      <c r="D104" t="s">
        <v>638</v>
      </c>
      <c r="E104">
        <v>2</v>
      </c>
      <c r="F104">
        <v>150</v>
      </c>
      <c r="G104">
        <v>300</v>
      </c>
      <c r="H104" t="s">
        <v>629</v>
      </c>
      <c r="I104" t="s">
        <v>31</v>
      </c>
      <c r="J104" t="s">
        <v>56</v>
      </c>
      <c r="K104" t="s">
        <v>56</v>
      </c>
      <c r="L104">
        <v>151</v>
      </c>
      <c r="M104" s="1">
        <v>45604</v>
      </c>
      <c r="N104" t="s">
        <v>31</v>
      </c>
    </row>
    <row r="105" spans="1:14" x14ac:dyDescent="0.25">
      <c r="A105" t="s">
        <v>744</v>
      </c>
      <c r="B105" t="s">
        <v>472</v>
      </c>
      <c r="C105" s="1">
        <v>45148</v>
      </c>
      <c r="D105" t="s">
        <v>638</v>
      </c>
      <c r="E105">
        <v>4</v>
      </c>
      <c r="F105">
        <v>150</v>
      </c>
      <c r="G105">
        <v>600</v>
      </c>
      <c r="H105" t="s">
        <v>629</v>
      </c>
      <c r="I105" t="s">
        <v>31</v>
      </c>
      <c r="J105" t="s">
        <v>31</v>
      </c>
      <c r="K105" t="s">
        <v>56</v>
      </c>
      <c r="L105">
        <v>178</v>
      </c>
      <c r="M105" s="1">
        <v>45654</v>
      </c>
      <c r="N105" t="s">
        <v>31</v>
      </c>
    </row>
    <row r="106" spans="1:14" x14ac:dyDescent="0.25">
      <c r="A106" t="s">
        <v>745</v>
      </c>
      <c r="B106" t="s">
        <v>165</v>
      </c>
      <c r="C106" s="1">
        <v>45004</v>
      </c>
      <c r="D106" t="s">
        <v>650</v>
      </c>
      <c r="E106">
        <v>4</v>
      </c>
      <c r="F106">
        <v>250</v>
      </c>
      <c r="G106">
        <v>1000</v>
      </c>
      <c r="H106" t="s">
        <v>629</v>
      </c>
      <c r="I106" t="s">
        <v>56</v>
      </c>
      <c r="J106" t="s">
        <v>56</v>
      </c>
      <c r="K106" t="s">
        <v>56</v>
      </c>
      <c r="L106">
        <v>36</v>
      </c>
      <c r="M106" s="1">
        <v>45506</v>
      </c>
      <c r="N106" t="s">
        <v>31</v>
      </c>
    </row>
    <row r="107" spans="1:14" x14ac:dyDescent="0.25">
      <c r="A107" t="s">
        <v>746</v>
      </c>
      <c r="B107" t="s">
        <v>589</v>
      </c>
      <c r="C107" s="1">
        <v>45259</v>
      </c>
      <c r="D107" t="s">
        <v>638</v>
      </c>
      <c r="E107">
        <v>5</v>
      </c>
      <c r="F107">
        <v>150</v>
      </c>
      <c r="G107">
        <v>750</v>
      </c>
      <c r="H107" t="s">
        <v>632</v>
      </c>
      <c r="I107" t="s">
        <v>31</v>
      </c>
      <c r="J107" t="s">
        <v>31</v>
      </c>
      <c r="K107" t="s">
        <v>56</v>
      </c>
      <c r="L107">
        <v>161</v>
      </c>
      <c r="M107" s="1">
        <v>45527</v>
      </c>
      <c r="N107" t="s">
        <v>31</v>
      </c>
    </row>
    <row r="108" spans="1:14" x14ac:dyDescent="0.25">
      <c r="A108" t="s">
        <v>747</v>
      </c>
      <c r="B108" t="s">
        <v>114</v>
      </c>
      <c r="C108" s="1">
        <v>45235</v>
      </c>
      <c r="D108" t="s">
        <v>660</v>
      </c>
      <c r="E108">
        <v>9</v>
      </c>
      <c r="F108">
        <v>90</v>
      </c>
      <c r="G108">
        <v>810</v>
      </c>
      <c r="H108" t="s">
        <v>636</v>
      </c>
      <c r="I108" t="s">
        <v>56</v>
      </c>
      <c r="J108" t="s">
        <v>56</v>
      </c>
      <c r="K108" t="s">
        <v>56</v>
      </c>
      <c r="L108">
        <v>160</v>
      </c>
      <c r="M108" s="1">
        <v>45481</v>
      </c>
      <c r="N108" t="s">
        <v>31</v>
      </c>
    </row>
    <row r="109" spans="1:14" x14ac:dyDescent="0.25">
      <c r="A109" t="s">
        <v>748</v>
      </c>
      <c r="B109" t="s">
        <v>293</v>
      </c>
      <c r="C109" s="1">
        <v>44975</v>
      </c>
      <c r="D109" t="s">
        <v>640</v>
      </c>
      <c r="E109">
        <v>10</v>
      </c>
      <c r="F109">
        <v>120</v>
      </c>
      <c r="G109">
        <v>1200</v>
      </c>
      <c r="H109" t="s">
        <v>632</v>
      </c>
      <c r="I109" t="s">
        <v>31</v>
      </c>
      <c r="J109" t="s">
        <v>31</v>
      </c>
      <c r="K109" t="s">
        <v>56</v>
      </c>
      <c r="L109">
        <v>10</v>
      </c>
      <c r="M109" s="1">
        <v>45613</v>
      </c>
      <c r="N109" t="s">
        <v>31</v>
      </c>
    </row>
    <row r="110" spans="1:14" x14ac:dyDescent="0.25">
      <c r="A110" t="s">
        <v>749</v>
      </c>
      <c r="B110" t="s">
        <v>120</v>
      </c>
      <c r="C110" s="1">
        <v>44989</v>
      </c>
      <c r="D110" t="s">
        <v>640</v>
      </c>
      <c r="E110">
        <v>4</v>
      </c>
      <c r="F110">
        <v>120</v>
      </c>
      <c r="G110">
        <v>480</v>
      </c>
      <c r="H110" t="s">
        <v>632</v>
      </c>
      <c r="I110" t="s">
        <v>31</v>
      </c>
      <c r="J110" t="s">
        <v>31</v>
      </c>
      <c r="K110" t="s">
        <v>56</v>
      </c>
      <c r="L110">
        <v>166</v>
      </c>
      <c r="M110" s="1">
        <v>45631</v>
      </c>
      <c r="N110" t="s">
        <v>31</v>
      </c>
    </row>
    <row r="111" spans="1:14" x14ac:dyDescent="0.25">
      <c r="A111" t="s">
        <v>750</v>
      </c>
      <c r="B111" t="s">
        <v>385</v>
      </c>
      <c r="C111" s="1">
        <v>45067</v>
      </c>
      <c r="D111" t="s">
        <v>628</v>
      </c>
      <c r="E111">
        <v>1</v>
      </c>
      <c r="F111">
        <v>100</v>
      </c>
      <c r="G111">
        <v>100</v>
      </c>
      <c r="H111" t="s">
        <v>636</v>
      </c>
      <c r="I111" t="s">
        <v>31</v>
      </c>
      <c r="J111" t="s">
        <v>56</v>
      </c>
      <c r="K111" t="s">
        <v>56</v>
      </c>
      <c r="L111">
        <v>15</v>
      </c>
      <c r="M111" s="1">
        <v>45592</v>
      </c>
      <c r="N111" t="s">
        <v>31</v>
      </c>
    </row>
    <row r="112" spans="1:14" x14ac:dyDescent="0.25">
      <c r="A112" t="s">
        <v>751</v>
      </c>
      <c r="B112" t="s">
        <v>399</v>
      </c>
      <c r="C112" s="1">
        <v>44983</v>
      </c>
      <c r="D112" t="s">
        <v>634</v>
      </c>
      <c r="E112">
        <v>4</v>
      </c>
      <c r="F112">
        <v>200</v>
      </c>
      <c r="G112">
        <v>800</v>
      </c>
      <c r="H112" t="s">
        <v>636</v>
      </c>
      <c r="I112" t="s">
        <v>56</v>
      </c>
      <c r="J112" t="s">
        <v>56</v>
      </c>
      <c r="K112" t="s">
        <v>56</v>
      </c>
      <c r="L112">
        <v>166</v>
      </c>
      <c r="M112" s="1">
        <v>45515</v>
      </c>
      <c r="N112" t="s">
        <v>31</v>
      </c>
    </row>
    <row r="113" spans="1:14" x14ac:dyDescent="0.25">
      <c r="A113" t="s">
        <v>752</v>
      </c>
      <c r="B113" t="s">
        <v>440</v>
      </c>
      <c r="C113" s="1">
        <v>45218</v>
      </c>
      <c r="D113" t="s">
        <v>650</v>
      </c>
      <c r="E113">
        <v>4</v>
      </c>
      <c r="F113">
        <v>250</v>
      </c>
      <c r="G113">
        <v>1000</v>
      </c>
      <c r="H113" t="s">
        <v>629</v>
      </c>
      <c r="I113" t="s">
        <v>56</v>
      </c>
      <c r="J113" t="s">
        <v>56</v>
      </c>
      <c r="K113" t="s">
        <v>56</v>
      </c>
      <c r="L113">
        <v>58</v>
      </c>
      <c r="M113" s="1">
        <v>45531</v>
      </c>
      <c r="N113" t="s">
        <v>31</v>
      </c>
    </row>
    <row r="114" spans="1:14" x14ac:dyDescent="0.25">
      <c r="A114" t="s">
        <v>753</v>
      </c>
      <c r="B114" t="s">
        <v>472</v>
      </c>
      <c r="C114" s="1">
        <v>45201</v>
      </c>
      <c r="D114" t="s">
        <v>692</v>
      </c>
      <c r="E114">
        <v>4</v>
      </c>
      <c r="F114">
        <v>450</v>
      </c>
      <c r="G114">
        <v>1800</v>
      </c>
      <c r="H114" t="s">
        <v>632</v>
      </c>
      <c r="I114" t="s">
        <v>56</v>
      </c>
      <c r="J114" t="s">
        <v>56</v>
      </c>
      <c r="K114" t="s">
        <v>56</v>
      </c>
      <c r="L114">
        <v>12</v>
      </c>
      <c r="M114" s="1">
        <v>45643</v>
      </c>
      <c r="N114" t="s">
        <v>31</v>
      </c>
    </row>
    <row r="115" spans="1:14" x14ac:dyDescent="0.25">
      <c r="A115" t="s">
        <v>754</v>
      </c>
      <c r="B115" t="s">
        <v>263</v>
      </c>
      <c r="C115" s="1">
        <v>45144</v>
      </c>
      <c r="D115" t="s">
        <v>640</v>
      </c>
      <c r="E115">
        <v>2</v>
      </c>
      <c r="F115">
        <v>120</v>
      </c>
      <c r="G115">
        <v>240</v>
      </c>
      <c r="H115" t="s">
        <v>629</v>
      </c>
      <c r="I115" t="s">
        <v>31</v>
      </c>
      <c r="J115" t="s">
        <v>31</v>
      </c>
      <c r="K115" t="s">
        <v>56</v>
      </c>
      <c r="L115">
        <v>190</v>
      </c>
      <c r="M115" s="1">
        <v>45462</v>
      </c>
      <c r="N115" t="s">
        <v>31</v>
      </c>
    </row>
    <row r="116" spans="1:14" x14ac:dyDescent="0.25">
      <c r="A116" t="s">
        <v>755</v>
      </c>
      <c r="B116" t="s">
        <v>156</v>
      </c>
      <c r="C116" s="1">
        <v>45131</v>
      </c>
      <c r="D116" t="s">
        <v>638</v>
      </c>
      <c r="E116">
        <v>9</v>
      </c>
      <c r="F116">
        <v>150</v>
      </c>
      <c r="G116">
        <v>1350</v>
      </c>
      <c r="H116" t="s">
        <v>629</v>
      </c>
      <c r="I116" t="s">
        <v>31</v>
      </c>
      <c r="J116" t="s">
        <v>31</v>
      </c>
      <c r="K116" t="s">
        <v>56</v>
      </c>
      <c r="L116">
        <v>62</v>
      </c>
      <c r="M116" s="1">
        <v>45624</v>
      </c>
      <c r="N116" t="s">
        <v>31</v>
      </c>
    </row>
    <row r="117" spans="1:14" x14ac:dyDescent="0.25">
      <c r="A117" t="s">
        <v>756</v>
      </c>
      <c r="B117" t="s">
        <v>110</v>
      </c>
      <c r="C117" s="1">
        <v>45117</v>
      </c>
      <c r="D117" t="s">
        <v>628</v>
      </c>
      <c r="E117">
        <v>6</v>
      </c>
      <c r="F117">
        <v>100</v>
      </c>
      <c r="G117">
        <v>600</v>
      </c>
      <c r="H117" t="s">
        <v>629</v>
      </c>
      <c r="I117" t="s">
        <v>31</v>
      </c>
      <c r="J117" t="s">
        <v>31</v>
      </c>
      <c r="K117" t="s">
        <v>56</v>
      </c>
      <c r="L117">
        <v>23</v>
      </c>
      <c r="M117" s="1">
        <v>45612</v>
      </c>
      <c r="N117" t="s">
        <v>31</v>
      </c>
    </row>
    <row r="118" spans="1:14" x14ac:dyDescent="0.25">
      <c r="A118" t="s">
        <v>757</v>
      </c>
      <c r="B118" t="s">
        <v>472</v>
      </c>
      <c r="C118" s="1">
        <v>44995</v>
      </c>
      <c r="D118" t="s">
        <v>638</v>
      </c>
      <c r="E118">
        <v>8</v>
      </c>
      <c r="F118">
        <v>150</v>
      </c>
      <c r="G118">
        <v>1200</v>
      </c>
      <c r="H118" t="s">
        <v>629</v>
      </c>
      <c r="I118" t="s">
        <v>31</v>
      </c>
      <c r="J118" t="s">
        <v>31</v>
      </c>
      <c r="K118" t="s">
        <v>56</v>
      </c>
      <c r="L118">
        <v>53</v>
      </c>
      <c r="M118" s="1">
        <v>45524</v>
      </c>
      <c r="N118" t="s">
        <v>31</v>
      </c>
    </row>
    <row r="119" spans="1:14" x14ac:dyDescent="0.25">
      <c r="A119" t="s">
        <v>758</v>
      </c>
      <c r="B119" t="s">
        <v>212</v>
      </c>
      <c r="C119" s="1">
        <v>44984</v>
      </c>
      <c r="D119" t="s">
        <v>638</v>
      </c>
      <c r="E119">
        <v>3</v>
      </c>
      <c r="F119">
        <v>150</v>
      </c>
      <c r="G119">
        <v>450</v>
      </c>
      <c r="H119" t="s">
        <v>636</v>
      </c>
      <c r="I119" t="s">
        <v>31</v>
      </c>
      <c r="J119" t="s">
        <v>56</v>
      </c>
      <c r="K119" t="s">
        <v>56</v>
      </c>
      <c r="L119">
        <v>24</v>
      </c>
      <c r="M119" s="1">
        <v>45613</v>
      </c>
      <c r="N119" t="s">
        <v>31</v>
      </c>
    </row>
    <row r="120" spans="1:14" x14ac:dyDescent="0.25">
      <c r="A120" t="s">
        <v>759</v>
      </c>
      <c r="B120" t="s">
        <v>57</v>
      </c>
      <c r="C120" s="1">
        <v>45151</v>
      </c>
      <c r="D120" t="s">
        <v>650</v>
      </c>
      <c r="E120">
        <v>4</v>
      </c>
      <c r="F120">
        <v>250</v>
      </c>
      <c r="G120">
        <v>1000</v>
      </c>
      <c r="H120" t="s">
        <v>636</v>
      </c>
      <c r="I120" t="s">
        <v>56</v>
      </c>
      <c r="J120" t="s">
        <v>56</v>
      </c>
      <c r="K120" t="s">
        <v>56</v>
      </c>
      <c r="L120">
        <v>56</v>
      </c>
      <c r="M120" s="1">
        <v>45590</v>
      </c>
      <c r="N120" t="s">
        <v>31</v>
      </c>
    </row>
    <row r="121" spans="1:14" x14ac:dyDescent="0.25">
      <c r="A121" t="s">
        <v>760</v>
      </c>
      <c r="B121" t="s">
        <v>558</v>
      </c>
      <c r="C121" s="1">
        <v>45078</v>
      </c>
      <c r="D121" t="s">
        <v>692</v>
      </c>
      <c r="E121">
        <v>10</v>
      </c>
      <c r="F121">
        <v>450</v>
      </c>
      <c r="G121">
        <v>4500</v>
      </c>
      <c r="H121" t="s">
        <v>629</v>
      </c>
      <c r="I121" t="s">
        <v>56</v>
      </c>
      <c r="J121" t="s">
        <v>56</v>
      </c>
      <c r="K121" t="s">
        <v>56</v>
      </c>
      <c r="L121">
        <v>9</v>
      </c>
      <c r="M121" s="1">
        <v>45455</v>
      </c>
      <c r="N121" t="s">
        <v>31</v>
      </c>
    </row>
    <row r="122" spans="1:14" x14ac:dyDescent="0.25">
      <c r="A122" t="s">
        <v>761</v>
      </c>
      <c r="B122" t="s">
        <v>217</v>
      </c>
      <c r="C122" s="1">
        <v>45140</v>
      </c>
      <c r="D122" t="s">
        <v>692</v>
      </c>
      <c r="E122">
        <v>9</v>
      </c>
      <c r="F122">
        <v>450</v>
      </c>
      <c r="G122">
        <v>4050</v>
      </c>
      <c r="H122" t="s">
        <v>636</v>
      </c>
      <c r="I122" t="s">
        <v>56</v>
      </c>
      <c r="J122" t="s">
        <v>56</v>
      </c>
      <c r="K122" t="s">
        <v>56</v>
      </c>
      <c r="L122">
        <v>147</v>
      </c>
      <c r="M122" s="1">
        <v>45525</v>
      </c>
      <c r="N122" t="s">
        <v>31</v>
      </c>
    </row>
    <row r="123" spans="1:14" x14ac:dyDescent="0.25">
      <c r="A123" t="s">
        <v>762</v>
      </c>
      <c r="B123" t="s">
        <v>191</v>
      </c>
      <c r="C123" s="1">
        <v>45216</v>
      </c>
      <c r="D123" t="s">
        <v>640</v>
      </c>
      <c r="E123">
        <v>6</v>
      </c>
      <c r="F123">
        <v>120</v>
      </c>
      <c r="G123">
        <v>720</v>
      </c>
      <c r="H123" t="s">
        <v>636</v>
      </c>
      <c r="I123" t="s">
        <v>31</v>
      </c>
      <c r="J123" t="s">
        <v>56</v>
      </c>
      <c r="K123" t="s">
        <v>56</v>
      </c>
      <c r="L123">
        <v>16</v>
      </c>
      <c r="M123" s="1">
        <v>45602</v>
      </c>
      <c r="N123" t="s">
        <v>31</v>
      </c>
    </row>
    <row r="124" spans="1:14" x14ac:dyDescent="0.25">
      <c r="A124" t="s">
        <v>763</v>
      </c>
      <c r="B124" t="s">
        <v>550</v>
      </c>
      <c r="C124" s="1">
        <v>45108</v>
      </c>
      <c r="D124" t="s">
        <v>638</v>
      </c>
      <c r="E124">
        <v>1</v>
      </c>
      <c r="F124">
        <v>150</v>
      </c>
      <c r="G124">
        <v>150</v>
      </c>
      <c r="H124" t="s">
        <v>629</v>
      </c>
      <c r="I124" t="s">
        <v>31</v>
      </c>
      <c r="J124" t="s">
        <v>31</v>
      </c>
      <c r="K124" t="s">
        <v>56</v>
      </c>
      <c r="L124">
        <v>31</v>
      </c>
      <c r="M124" s="1">
        <v>45508</v>
      </c>
      <c r="N124" t="s">
        <v>31</v>
      </c>
    </row>
    <row r="125" spans="1:14" x14ac:dyDescent="0.25">
      <c r="A125" t="s">
        <v>764</v>
      </c>
      <c r="B125" t="s">
        <v>185</v>
      </c>
      <c r="C125" s="1">
        <v>45113</v>
      </c>
      <c r="D125" t="s">
        <v>634</v>
      </c>
      <c r="E125">
        <v>8</v>
      </c>
      <c r="F125">
        <v>200</v>
      </c>
      <c r="G125">
        <v>1600</v>
      </c>
      <c r="H125" t="s">
        <v>632</v>
      </c>
      <c r="I125" t="s">
        <v>56</v>
      </c>
      <c r="J125" t="s">
        <v>56</v>
      </c>
      <c r="K125" t="s">
        <v>56</v>
      </c>
      <c r="L125">
        <v>91</v>
      </c>
      <c r="M125" s="1">
        <v>45637</v>
      </c>
      <c r="N125" t="s">
        <v>31</v>
      </c>
    </row>
    <row r="126" spans="1:14" x14ac:dyDescent="0.25">
      <c r="A126" t="s">
        <v>765</v>
      </c>
      <c r="B126" t="s">
        <v>404</v>
      </c>
      <c r="C126" s="1">
        <v>44992</v>
      </c>
      <c r="D126" t="s">
        <v>631</v>
      </c>
      <c r="E126">
        <v>9</v>
      </c>
      <c r="F126">
        <v>80</v>
      </c>
      <c r="G126">
        <v>720</v>
      </c>
      <c r="H126" t="s">
        <v>629</v>
      </c>
      <c r="I126" t="s">
        <v>31</v>
      </c>
      <c r="J126" t="s">
        <v>31</v>
      </c>
      <c r="K126" t="s">
        <v>56</v>
      </c>
      <c r="L126">
        <v>135</v>
      </c>
      <c r="M126" s="1">
        <v>45542</v>
      </c>
      <c r="N126" t="s">
        <v>31</v>
      </c>
    </row>
    <row r="127" spans="1:14" x14ac:dyDescent="0.25">
      <c r="A127" t="s">
        <v>766</v>
      </c>
      <c r="B127" t="s">
        <v>322</v>
      </c>
      <c r="C127" s="1">
        <v>45055</v>
      </c>
      <c r="D127" t="s">
        <v>692</v>
      </c>
      <c r="E127">
        <v>4</v>
      </c>
      <c r="F127">
        <v>450</v>
      </c>
      <c r="G127">
        <v>1800</v>
      </c>
      <c r="H127" t="s">
        <v>629</v>
      </c>
      <c r="I127" t="s">
        <v>56</v>
      </c>
      <c r="J127" t="s">
        <v>56</v>
      </c>
      <c r="K127" t="s">
        <v>56</v>
      </c>
      <c r="L127">
        <v>76</v>
      </c>
      <c r="M127" s="1">
        <v>45643</v>
      </c>
      <c r="N127" t="s">
        <v>31</v>
      </c>
    </row>
    <row r="128" spans="1:14" x14ac:dyDescent="0.25">
      <c r="A128" t="s">
        <v>767</v>
      </c>
      <c r="B128" t="s">
        <v>377</v>
      </c>
      <c r="C128" s="1">
        <v>45123</v>
      </c>
      <c r="D128" t="s">
        <v>648</v>
      </c>
      <c r="E128">
        <v>7</v>
      </c>
      <c r="F128">
        <v>300</v>
      </c>
      <c r="G128">
        <v>2100</v>
      </c>
      <c r="H128" t="s">
        <v>632</v>
      </c>
      <c r="I128" t="s">
        <v>56</v>
      </c>
      <c r="J128" t="s">
        <v>56</v>
      </c>
      <c r="K128" t="s">
        <v>56</v>
      </c>
      <c r="L128">
        <v>40</v>
      </c>
      <c r="M128" s="1">
        <v>45447</v>
      </c>
      <c r="N128" t="s">
        <v>31</v>
      </c>
    </row>
    <row r="129" spans="1:14" x14ac:dyDescent="0.25">
      <c r="A129" t="s">
        <v>768</v>
      </c>
      <c r="B129" t="s">
        <v>223</v>
      </c>
      <c r="C129" s="1">
        <v>45226</v>
      </c>
      <c r="D129" t="s">
        <v>628</v>
      </c>
      <c r="E129">
        <v>7</v>
      </c>
      <c r="F129">
        <v>100</v>
      </c>
      <c r="G129">
        <v>700</v>
      </c>
      <c r="H129" t="s">
        <v>632</v>
      </c>
      <c r="I129" t="s">
        <v>31</v>
      </c>
      <c r="J129" t="s">
        <v>56</v>
      </c>
      <c r="K129" t="s">
        <v>56</v>
      </c>
      <c r="L129">
        <v>27</v>
      </c>
      <c r="M129" s="1">
        <v>45560</v>
      </c>
      <c r="N129" t="s">
        <v>31</v>
      </c>
    </row>
    <row r="130" spans="1:14" x14ac:dyDescent="0.25">
      <c r="A130" t="s">
        <v>769</v>
      </c>
      <c r="B130" t="s">
        <v>94</v>
      </c>
      <c r="C130" s="1">
        <v>45031</v>
      </c>
      <c r="D130" t="s">
        <v>660</v>
      </c>
      <c r="E130">
        <v>9</v>
      </c>
      <c r="F130">
        <v>90</v>
      </c>
      <c r="G130">
        <v>810</v>
      </c>
      <c r="H130" t="s">
        <v>632</v>
      </c>
      <c r="I130" t="s">
        <v>56</v>
      </c>
      <c r="J130" t="s">
        <v>56</v>
      </c>
      <c r="K130" t="s">
        <v>56</v>
      </c>
      <c r="L130">
        <v>87</v>
      </c>
      <c r="M130" s="1">
        <v>45524</v>
      </c>
      <c r="N130" t="s">
        <v>31</v>
      </c>
    </row>
    <row r="131" spans="1:14" x14ac:dyDescent="0.25">
      <c r="A131" t="s">
        <v>770</v>
      </c>
      <c r="B131" t="s">
        <v>461</v>
      </c>
      <c r="C131" s="1">
        <v>45163</v>
      </c>
      <c r="D131" t="s">
        <v>634</v>
      </c>
      <c r="E131">
        <v>4</v>
      </c>
      <c r="F131">
        <v>200</v>
      </c>
      <c r="G131">
        <v>800</v>
      </c>
      <c r="H131" t="s">
        <v>632</v>
      </c>
      <c r="I131" t="s">
        <v>56</v>
      </c>
      <c r="J131" t="s">
        <v>56</v>
      </c>
      <c r="K131" t="s">
        <v>56</v>
      </c>
      <c r="L131">
        <v>67</v>
      </c>
      <c r="M131" s="1">
        <v>45485</v>
      </c>
      <c r="N131" t="s">
        <v>31</v>
      </c>
    </row>
    <row r="132" spans="1:14" x14ac:dyDescent="0.25">
      <c r="A132" t="s">
        <v>771</v>
      </c>
      <c r="B132" t="s">
        <v>341</v>
      </c>
      <c r="C132" s="1">
        <v>44980</v>
      </c>
      <c r="D132" t="s">
        <v>631</v>
      </c>
      <c r="E132">
        <v>10</v>
      </c>
      <c r="F132">
        <v>80</v>
      </c>
      <c r="G132">
        <v>800</v>
      </c>
      <c r="H132" t="s">
        <v>632</v>
      </c>
      <c r="I132" t="s">
        <v>31</v>
      </c>
      <c r="J132" t="s">
        <v>56</v>
      </c>
      <c r="K132" t="s">
        <v>56</v>
      </c>
      <c r="L132">
        <v>117</v>
      </c>
      <c r="M132" s="1">
        <v>45554</v>
      </c>
      <c r="N132" t="s">
        <v>31</v>
      </c>
    </row>
    <row r="133" spans="1:14" x14ac:dyDescent="0.25">
      <c r="A133" t="s">
        <v>772</v>
      </c>
      <c r="B133" t="s">
        <v>477</v>
      </c>
      <c r="C133" s="1">
        <v>45252</v>
      </c>
      <c r="D133" t="s">
        <v>634</v>
      </c>
      <c r="E133">
        <v>2</v>
      </c>
      <c r="F133">
        <v>200</v>
      </c>
      <c r="G133">
        <v>400</v>
      </c>
      <c r="H133" t="s">
        <v>629</v>
      </c>
      <c r="I133" t="s">
        <v>56</v>
      </c>
      <c r="J133" t="s">
        <v>56</v>
      </c>
      <c r="K133" t="s">
        <v>56</v>
      </c>
      <c r="L133">
        <v>190</v>
      </c>
      <c r="M133" s="1">
        <v>45598</v>
      </c>
      <c r="N133" t="s">
        <v>31</v>
      </c>
    </row>
    <row r="134" spans="1:14" x14ac:dyDescent="0.25">
      <c r="A134" t="s">
        <v>773</v>
      </c>
      <c r="B134" t="s">
        <v>401</v>
      </c>
      <c r="C134" s="1">
        <v>45013</v>
      </c>
      <c r="D134" t="s">
        <v>638</v>
      </c>
      <c r="E134">
        <v>4</v>
      </c>
      <c r="F134">
        <v>150</v>
      </c>
      <c r="G134">
        <v>600</v>
      </c>
      <c r="H134" t="s">
        <v>629</v>
      </c>
      <c r="I134" t="s">
        <v>31</v>
      </c>
      <c r="J134" t="s">
        <v>31</v>
      </c>
      <c r="K134" t="s">
        <v>56</v>
      </c>
      <c r="L134">
        <v>182</v>
      </c>
      <c r="M134" s="1">
        <v>45555</v>
      </c>
      <c r="N134" t="s">
        <v>31</v>
      </c>
    </row>
    <row r="135" spans="1:14" x14ac:dyDescent="0.25">
      <c r="A135" t="s">
        <v>774</v>
      </c>
      <c r="B135" t="s">
        <v>175</v>
      </c>
      <c r="C135" s="1">
        <v>44987</v>
      </c>
      <c r="D135" t="s">
        <v>634</v>
      </c>
      <c r="E135">
        <v>10</v>
      </c>
      <c r="F135">
        <v>200</v>
      </c>
      <c r="G135">
        <v>2000</v>
      </c>
      <c r="H135" t="s">
        <v>636</v>
      </c>
      <c r="I135" t="s">
        <v>56</v>
      </c>
      <c r="J135" t="s">
        <v>56</v>
      </c>
      <c r="K135" t="s">
        <v>56</v>
      </c>
      <c r="L135">
        <v>21</v>
      </c>
      <c r="M135" s="1">
        <v>45604</v>
      </c>
      <c r="N135" t="s">
        <v>31</v>
      </c>
    </row>
    <row r="136" spans="1:14" x14ac:dyDescent="0.25">
      <c r="A136" t="s">
        <v>775</v>
      </c>
      <c r="B136" t="s">
        <v>235</v>
      </c>
      <c r="C136" s="1">
        <v>44929</v>
      </c>
      <c r="D136" t="s">
        <v>638</v>
      </c>
      <c r="E136">
        <v>10</v>
      </c>
      <c r="F136">
        <v>150</v>
      </c>
      <c r="G136">
        <v>1500</v>
      </c>
      <c r="H136" t="s">
        <v>629</v>
      </c>
      <c r="I136" t="s">
        <v>31</v>
      </c>
      <c r="J136" t="s">
        <v>56</v>
      </c>
      <c r="K136" t="s">
        <v>56</v>
      </c>
      <c r="L136">
        <v>167</v>
      </c>
      <c r="M136" s="1">
        <v>45620</v>
      </c>
      <c r="N136" t="s">
        <v>31</v>
      </c>
    </row>
    <row r="137" spans="1:14" x14ac:dyDescent="0.25">
      <c r="A137" t="s">
        <v>776</v>
      </c>
      <c r="B137" t="s">
        <v>520</v>
      </c>
      <c r="C137" s="1">
        <v>44946</v>
      </c>
      <c r="D137" t="s">
        <v>650</v>
      </c>
      <c r="E137">
        <v>2</v>
      </c>
      <c r="F137">
        <v>250</v>
      </c>
      <c r="G137">
        <v>500</v>
      </c>
      <c r="H137" t="s">
        <v>632</v>
      </c>
      <c r="I137" t="s">
        <v>56</v>
      </c>
      <c r="J137" t="s">
        <v>56</v>
      </c>
      <c r="K137" t="s">
        <v>56</v>
      </c>
      <c r="L137">
        <v>5</v>
      </c>
      <c r="M137" s="1">
        <v>45458</v>
      </c>
      <c r="N137" t="s">
        <v>31</v>
      </c>
    </row>
    <row r="138" spans="1:14" x14ac:dyDescent="0.25">
      <c r="A138" t="s">
        <v>777</v>
      </c>
      <c r="B138" t="s">
        <v>101</v>
      </c>
      <c r="C138" s="1">
        <v>45132</v>
      </c>
      <c r="D138" t="s">
        <v>650</v>
      </c>
      <c r="E138">
        <v>4</v>
      </c>
      <c r="F138">
        <v>250</v>
      </c>
      <c r="G138">
        <v>1000</v>
      </c>
      <c r="H138" t="s">
        <v>629</v>
      </c>
      <c r="I138" t="s">
        <v>56</v>
      </c>
      <c r="J138" t="s">
        <v>56</v>
      </c>
      <c r="K138" t="s">
        <v>56</v>
      </c>
      <c r="L138">
        <v>16</v>
      </c>
      <c r="M138" s="1">
        <v>45586</v>
      </c>
      <c r="N138" t="s">
        <v>31</v>
      </c>
    </row>
    <row r="139" spans="1:14" x14ac:dyDescent="0.25">
      <c r="A139" t="s">
        <v>778</v>
      </c>
      <c r="B139" t="s">
        <v>472</v>
      </c>
      <c r="C139" s="1">
        <v>45138</v>
      </c>
      <c r="D139" t="s">
        <v>653</v>
      </c>
      <c r="E139">
        <v>1</v>
      </c>
      <c r="F139">
        <v>1200</v>
      </c>
      <c r="G139">
        <v>1200</v>
      </c>
      <c r="H139" t="s">
        <v>632</v>
      </c>
      <c r="I139" t="s">
        <v>56</v>
      </c>
      <c r="J139" t="s">
        <v>56</v>
      </c>
      <c r="K139" t="s">
        <v>56</v>
      </c>
      <c r="L139">
        <v>124</v>
      </c>
      <c r="M139" s="1">
        <v>45459</v>
      </c>
      <c r="N139" t="s">
        <v>31</v>
      </c>
    </row>
    <row r="140" spans="1:14" x14ac:dyDescent="0.25">
      <c r="A140" t="s">
        <v>779</v>
      </c>
      <c r="B140" t="s">
        <v>595</v>
      </c>
      <c r="C140" s="1">
        <v>44980</v>
      </c>
      <c r="D140" t="s">
        <v>631</v>
      </c>
      <c r="E140">
        <v>3</v>
      </c>
      <c r="F140">
        <v>80</v>
      </c>
      <c r="G140">
        <v>240</v>
      </c>
      <c r="H140" t="s">
        <v>632</v>
      </c>
      <c r="I140" t="s">
        <v>31</v>
      </c>
      <c r="J140" t="s">
        <v>56</v>
      </c>
      <c r="K140" t="s">
        <v>56</v>
      </c>
      <c r="L140">
        <v>162</v>
      </c>
      <c r="M140" s="1">
        <v>45576</v>
      </c>
      <c r="N140" t="s">
        <v>31</v>
      </c>
    </row>
    <row r="141" spans="1:14" x14ac:dyDescent="0.25">
      <c r="A141" t="s">
        <v>780</v>
      </c>
      <c r="B141" t="s">
        <v>153</v>
      </c>
      <c r="C141" s="1">
        <v>45188</v>
      </c>
      <c r="D141" t="s">
        <v>638</v>
      </c>
      <c r="E141">
        <v>1</v>
      </c>
      <c r="F141">
        <v>150</v>
      </c>
      <c r="G141">
        <v>150</v>
      </c>
      <c r="H141" t="s">
        <v>632</v>
      </c>
      <c r="I141" t="s">
        <v>31</v>
      </c>
      <c r="J141" t="s">
        <v>56</v>
      </c>
      <c r="K141" t="s">
        <v>56</v>
      </c>
      <c r="L141">
        <v>147</v>
      </c>
      <c r="M141" s="1">
        <v>45623</v>
      </c>
      <c r="N141" t="s">
        <v>31</v>
      </c>
    </row>
    <row r="142" spans="1:14" x14ac:dyDescent="0.25">
      <c r="A142" t="s">
        <v>781</v>
      </c>
      <c r="B142" t="s">
        <v>131</v>
      </c>
      <c r="C142" s="1">
        <v>45184</v>
      </c>
      <c r="D142" t="s">
        <v>628</v>
      </c>
      <c r="E142">
        <v>10</v>
      </c>
      <c r="F142">
        <v>100</v>
      </c>
      <c r="G142">
        <v>1000</v>
      </c>
      <c r="H142" t="s">
        <v>629</v>
      </c>
      <c r="I142" t="s">
        <v>31</v>
      </c>
      <c r="J142" t="s">
        <v>56</v>
      </c>
      <c r="K142" t="s">
        <v>56</v>
      </c>
      <c r="L142">
        <v>185</v>
      </c>
      <c r="M142" s="1">
        <v>45465</v>
      </c>
      <c r="N142" t="s">
        <v>31</v>
      </c>
    </row>
    <row r="143" spans="1:14" x14ac:dyDescent="0.25">
      <c r="A143" t="s">
        <v>782</v>
      </c>
      <c r="B143" t="s">
        <v>450</v>
      </c>
      <c r="C143" s="1">
        <v>45241</v>
      </c>
      <c r="D143" t="s">
        <v>653</v>
      </c>
      <c r="E143">
        <v>8</v>
      </c>
      <c r="F143">
        <v>1200</v>
      </c>
      <c r="G143">
        <v>9600</v>
      </c>
      <c r="H143" t="s">
        <v>636</v>
      </c>
      <c r="I143" t="s">
        <v>56</v>
      </c>
      <c r="J143" t="s">
        <v>56</v>
      </c>
      <c r="K143" t="s">
        <v>56</v>
      </c>
      <c r="L143">
        <v>176</v>
      </c>
      <c r="M143" s="1">
        <v>45461</v>
      </c>
      <c r="N143" t="s">
        <v>31</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F63D3-A3F2-493D-96D8-223BFB52BDAF}">
  <dimension ref="A1:J101"/>
  <sheetViews>
    <sheetView tabSelected="1" workbookViewId="0">
      <selection activeCell="H8" sqref="H8"/>
    </sheetView>
  </sheetViews>
  <sheetFormatPr defaultRowHeight="15" x14ac:dyDescent="0.25"/>
  <cols>
    <col min="1" max="1" width="12.5703125" bestFit="1" customWidth="1"/>
    <col min="2" max="2" width="13.7109375" bestFit="1" customWidth="1"/>
    <col min="3" max="3" width="18.28515625" bestFit="1" customWidth="1"/>
    <col min="4" max="4" width="14.140625" bestFit="1" customWidth="1"/>
    <col min="5" max="5" width="10.42578125" bestFit="1" customWidth="1"/>
    <col min="6" max="6" width="20.7109375" bestFit="1" customWidth="1"/>
    <col min="7" max="7" width="22.28515625" bestFit="1" customWidth="1"/>
    <col min="8" max="8" width="26.42578125" bestFit="1" customWidth="1"/>
    <col min="9" max="9" width="22.42578125" bestFit="1" customWidth="1"/>
    <col min="10" max="10" width="30.140625" bestFit="1" customWidth="1"/>
    <col min="11" max="11" width="11.28515625" bestFit="1" customWidth="1"/>
    <col min="12" max="12" width="12.5703125" bestFit="1" customWidth="1"/>
    <col min="13" max="13" width="16.7109375" bestFit="1" customWidth="1"/>
    <col min="14" max="14" width="12.7109375" bestFit="1" customWidth="1"/>
    <col min="15" max="15" width="20.42578125" bestFit="1" customWidth="1"/>
  </cols>
  <sheetData>
    <row r="1" spans="1:10" x14ac:dyDescent="0.25">
      <c r="A1" t="s">
        <v>783</v>
      </c>
      <c r="B1" t="s">
        <v>784</v>
      </c>
      <c r="C1" t="s">
        <v>785</v>
      </c>
      <c r="D1" t="s">
        <v>6</v>
      </c>
      <c r="E1" t="s">
        <v>786</v>
      </c>
      <c r="F1" t="s">
        <v>906</v>
      </c>
      <c r="G1" t="s">
        <v>907</v>
      </c>
      <c r="H1" t="s">
        <v>908</v>
      </c>
      <c r="I1" t="s">
        <v>909</v>
      </c>
      <c r="J1" t="s">
        <v>910</v>
      </c>
    </row>
    <row r="2" spans="1:10" x14ac:dyDescent="0.25">
      <c r="A2" t="s">
        <v>787</v>
      </c>
      <c r="B2" t="s">
        <v>788</v>
      </c>
      <c r="C2" t="s">
        <v>789</v>
      </c>
      <c r="D2" t="s">
        <v>83</v>
      </c>
      <c r="E2" s="1">
        <v>44939</v>
      </c>
      <c r="F2" s="2">
        <v>0.33333333333333331</v>
      </c>
      <c r="G2" s="2">
        <v>0.75</v>
      </c>
      <c r="H2">
        <v>10</v>
      </c>
      <c r="I2" t="s">
        <v>804</v>
      </c>
      <c r="J2" t="s">
        <v>791</v>
      </c>
    </row>
    <row r="3" spans="1:10" x14ac:dyDescent="0.25">
      <c r="A3" t="s">
        <v>792</v>
      </c>
      <c r="B3" t="s">
        <v>788</v>
      </c>
      <c r="C3" t="s">
        <v>789</v>
      </c>
      <c r="D3" t="s">
        <v>83</v>
      </c>
      <c r="E3" s="1">
        <v>45270</v>
      </c>
      <c r="F3" s="2">
        <v>0.5</v>
      </c>
      <c r="G3" s="2">
        <v>0.75</v>
      </c>
      <c r="H3">
        <v>6</v>
      </c>
      <c r="I3" t="s">
        <v>790</v>
      </c>
      <c r="J3" t="s">
        <v>791</v>
      </c>
    </row>
    <row r="4" spans="1:10" x14ac:dyDescent="0.25">
      <c r="A4" t="s">
        <v>793</v>
      </c>
      <c r="B4" t="s">
        <v>794</v>
      </c>
      <c r="C4" t="s">
        <v>795</v>
      </c>
      <c r="D4" t="s">
        <v>796</v>
      </c>
      <c r="E4" s="1">
        <v>45273</v>
      </c>
      <c r="F4" s="2">
        <v>0.29166666666666669</v>
      </c>
      <c r="G4" s="2">
        <v>0.54166666666666663</v>
      </c>
      <c r="H4">
        <v>6</v>
      </c>
      <c r="I4" t="s">
        <v>804</v>
      </c>
      <c r="J4" t="s">
        <v>791</v>
      </c>
    </row>
    <row r="5" spans="1:10" x14ac:dyDescent="0.25">
      <c r="A5" t="s">
        <v>797</v>
      </c>
      <c r="B5" t="s">
        <v>798</v>
      </c>
      <c r="C5" t="s">
        <v>799</v>
      </c>
      <c r="D5" t="s">
        <v>24</v>
      </c>
      <c r="E5" s="1">
        <v>44972</v>
      </c>
      <c r="F5" s="2">
        <v>0.45833333333333331</v>
      </c>
      <c r="G5" s="2">
        <v>0.79166666666666663</v>
      </c>
      <c r="H5">
        <v>8</v>
      </c>
      <c r="I5" t="s">
        <v>804</v>
      </c>
      <c r="J5" t="s">
        <v>791</v>
      </c>
    </row>
    <row r="6" spans="1:10" x14ac:dyDescent="0.25">
      <c r="A6" t="s">
        <v>800</v>
      </c>
      <c r="B6" t="s">
        <v>801</v>
      </c>
      <c r="C6" t="s">
        <v>620</v>
      </c>
      <c r="D6" t="s">
        <v>802</v>
      </c>
      <c r="E6" s="1">
        <v>45002</v>
      </c>
      <c r="F6" s="2">
        <v>0.54166666666666663</v>
      </c>
      <c r="G6" s="2">
        <v>0.95833333333333337</v>
      </c>
      <c r="H6">
        <v>10</v>
      </c>
      <c r="I6" t="s">
        <v>790</v>
      </c>
      <c r="J6" t="s">
        <v>791</v>
      </c>
    </row>
    <row r="7" spans="1:10" x14ac:dyDescent="0.25">
      <c r="A7" t="s">
        <v>803</v>
      </c>
      <c r="B7" t="s">
        <v>788</v>
      </c>
      <c r="C7" t="s">
        <v>789</v>
      </c>
      <c r="D7" t="s">
        <v>83</v>
      </c>
      <c r="E7" s="1">
        <v>44930</v>
      </c>
      <c r="F7" s="2">
        <v>0.29166666666666669</v>
      </c>
      <c r="G7" s="2">
        <v>0.54166666666666663</v>
      </c>
      <c r="H7">
        <v>6</v>
      </c>
      <c r="I7" t="s">
        <v>804</v>
      </c>
      <c r="J7" t="s">
        <v>791</v>
      </c>
    </row>
    <row r="8" spans="1:10" x14ac:dyDescent="0.25">
      <c r="A8" t="s">
        <v>805</v>
      </c>
      <c r="B8" t="s">
        <v>788</v>
      </c>
      <c r="C8" t="s">
        <v>789</v>
      </c>
      <c r="D8" t="s">
        <v>83</v>
      </c>
      <c r="E8" s="1">
        <v>45193</v>
      </c>
      <c r="F8" s="2">
        <v>0.5</v>
      </c>
      <c r="G8" s="2">
        <v>0.875</v>
      </c>
      <c r="H8">
        <v>9</v>
      </c>
      <c r="I8" t="s">
        <v>790</v>
      </c>
      <c r="J8" t="s">
        <v>791</v>
      </c>
    </row>
    <row r="9" spans="1:10" x14ac:dyDescent="0.25">
      <c r="A9" t="s">
        <v>806</v>
      </c>
      <c r="B9" t="s">
        <v>788</v>
      </c>
      <c r="C9" t="s">
        <v>789</v>
      </c>
      <c r="D9" t="s">
        <v>83</v>
      </c>
      <c r="E9" s="1">
        <v>44967</v>
      </c>
      <c r="F9" s="2">
        <v>0.25</v>
      </c>
      <c r="G9" s="2">
        <v>0.5</v>
      </c>
      <c r="H9">
        <v>6</v>
      </c>
      <c r="I9" t="s">
        <v>804</v>
      </c>
      <c r="J9" t="s">
        <v>791</v>
      </c>
    </row>
    <row r="10" spans="1:10" x14ac:dyDescent="0.25">
      <c r="A10" t="s">
        <v>807</v>
      </c>
      <c r="B10" t="s">
        <v>808</v>
      </c>
      <c r="C10" t="s">
        <v>789</v>
      </c>
      <c r="D10" t="s">
        <v>24</v>
      </c>
      <c r="E10" s="1">
        <v>45147</v>
      </c>
      <c r="F10" s="2">
        <v>0.25</v>
      </c>
      <c r="G10" s="2">
        <v>0.54166666666666663</v>
      </c>
      <c r="H10">
        <v>7</v>
      </c>
      <c r="I10" t="s">
        <v>804</v>
      </c>
      <c r="J10" t="s">
        <v>791</v>
      </c>
    </row>
    <row r="11" spans="1:10" hidden="1" x14ac:dyDescent="0.25">
      <c r="E11" s="1"/>
      <c r="F11" s="2"/>
      <c r="G11" s="2"/>
    </row>
    <row r="12" spans="1:10" x14ac:dyDescent="0.25">
      <c r="A12" t="s">
        <v>812</v>
      </c>
      <c r="B12" t="s">
        <v>813</v>
      </c>
      <c r="C12" t="s">
        <v>799</v>
      </c>
      <c r="D12" t="s">
        <v>77</v>
      </c>
      <c r="E12" s="1">
        <v>45093</v>
      </c>
      <c r="F12" s="2">
        <v>0.5</v>
      </c>
      <c r="G12" s="2">
        <v>0.75</v>
      </c>
      <c r="H12">
        <v>6</v>
      </c>
      <c r="I12" t="s">
        <v>790</v>
      </c>
      <c r="J12" t="s">
        <v>791</v>
      </c>
    </row>
    <row r="13" spans="1:10" x14ac:dyDescent="0.25">
      <c r="A13" t="s">
        <v>814</v>
      </c>
      <c r="B13" t="s">
        <v>809</v>
      </c>
      <c r="C13" t="s">
        <v>810</v>
      </c>
      <c r="D13" t="s">
        <v>811</v>
      </c>
      <c r="E13" s="1">
        <v>45246</v>
      </c>
      <c r="F13" s="2"/>
      <c r="G13" s="2"/>
      <c r="H13">
        <v>0</v>
      </c>
      <c r="J13" t="s">
        <v>815</v>
      </c>
    </row>
    <row r="14" spans="1:10" x14ac:dyDescent="0.25">
      <c r="A14" t="s">
        <v>816</v>
      </c>
      <c r="B14" t="s">
        <v>813</v>
      </c>
      <c r="C14" t="s">
        <v>799</v>
      </c>
      <c r="D14" t="s">
        <v>77</v>
      </c>
      <c r="E14" s="1">
        <v>45101</v>
      </c>
      <c r="F14" s="2"/>
      <c r="G14" s="2"/>
      <c r="H14">
        <v>0</v>
      </c>
      <c r="J14" t="s">
        <v>815</v>
      </c>
    </row>
    <row r="15" spans="1:10" x14ac:dyDescent="0.25">
      <c r="A15" t="s">
        <v>817</v>
      </c>
      <c r="B15" t="s">
        <v>788</v>
      </c>
      <c r="C15" t="s">
        <v>789</v>
      </c>
      <c r="D15" t="s">
        <v>83</v>
      </c>
      <c r="E15" s="1">
        <v>45102</v>
      </c>
      <c r="F15" s="2">
        <v>0.29166666666666669</v>
      </c>
      <c r="G15" s="2">
        <v>0.70833333333333337</v>
      </c>
      <c r="H15">
        <v>10</v>
      </c>
      <c r="I15" t="s">
        <v>804</v>
      </c>
      <c r="J15" t="s">
        <v>791</v>
      </c>
    </row>
    <row r="16" spans="1:10" x14ac:dyDescent="0.25">
      <c r="A16" t="s">
        <v>818</v>
      </c>
      <c r="B16" t="s">
        <v>794</v>
      </c>
      <c r="C16" t="s">
        <v>795</v>
      </c>
      <c r="D16" t="s">
        <v>796</v>
      </c>
      <c r="E16" s="1">
        <v>45144</v>
      </c>
      <c r="F16" s="2">
        <v>0.45833333333333331</v>
      </c>
      <c r="G16" s="2">
        <v>0.79166666666666663</v>
      </c>
      <c r="H16">
        <v>8</v>
      </c>
      <c r="I16" t="s">
        <v>804</v>
      </c>
      <c r="J16" t="s">
        <v>791</v>
      </c>
    </row>
    <row r="17" spans="1:10" x14ac:dyDescent="0.25">
      <c r="A17" t="s">
        <v>819</v>
      </c>
      <c r="B17" t="s">
        <v>809</v>
      </c>
      <c r="C17" t="s">
        <v>810</v>
      </c>
      <c r="D17" t="s">
        <v>811</v>
      </c>
      <c r="E17" s="1">
        <v>45009</v>
      </c>
      <c r="F17" s="2"/>
      <c r="G17" s="2"/>
      <c r="H17">
        <v>0</v>
      </c>
      <c r="J17" t="s">
        <v>815</v>
      </c>
    </row>
    <row r="18" spans="1:10" x14ac:dyDescent="0.25">
      <c r="A18" t="s">
        <v>820</v>
      </c>
      <c r="B18" t="s">
        <v>788</v>
      </c>
      <c r="C18" t="s">
        <v>789</v>
      </c>
      <c r="D18" t="s">
        <v>83</v>
      </c>
      <c r="E18" s="1">
        <v>45135</v>
      </c>
      <c r="F18" s="2">
        <v>0.58333333333333337</v>
      </c>
      <c r="G18" s="2">
        <v>0.83333333333333337</v>
      </c>
      <c r="H18">
        <v>6</v>
      </c>
      <c r="I18" t="s">
        <v>790</v>
      </c>
      <c r="J18" t="s">
        <v>791</v>
      </c>
    </row>
    <row r="19" spans="1:10" x14ac:dyDescent="0.25">
      <c r="A19" t="s">
        <v>821</v>
      </c>
      <c r="B19" t="s">
        <v>813</v>
      </c>
      <c r="C19" t="s">
        <v>799</v>
      </c>
      <c r="D19" t="s">
        <v>77</v>
      </c>
      <c r="E19" s="1">
        <v>45060</v>
      </c>
      <c r="F19" s="2">
        <v>0.5</v>
      </c>
      <c r="G19" s="2">
        <v>0.75</v>
      </c>
      <c r="H19">
        <v>6</v>
      </c>
      <c r="I19" t="s">
        <v>790</v>
      </c>
      <c r="J19" t="s">
        <v>791</v>
      </c>
    </row>
    <row r="20" spans="1:10" x14ac:dyDescent="0.25">
      <c r="A20" t="s">
        <v>822</v>
      </c>
      <c r="B20" t="s">
        <v>808</v>
      </c>
      <c r="C20" t="s">
        <v>789</v>
      </c>
      <c r="D20" t="s">
        <v>24</v>
      </c>
      <c r="E20" s="1">
        <v>45280</v>
      </c>
      <c r="F20" s="2"/>
      <c r="G20" s="2"/>
      <c r="H20">
        <v>0</v>
      </c>
      <c r="J20" t="s">
        <v>815</v>
      </c>
    </row>
    <row r="21" spans="1:10" hidden="1" x14ac:dyDescent="0.25">
      <c r="E21" s="1"/>
      <c r="F21" s="2"/>
      <c r="G21" s="2"/>
    </row>
    <row r="22" spans="1:10" x14ac:dyDescent="0.25">
      <c r="A22" t="s">
        <v>823</v>
      </c>
      <c r="B22" t="s">
        <v>801</v>
      </c>
      <c r="C22" t="s">
        <v>620</v>
      </c>
      <c r="D22" t="s">
        <v>802</v>
      </c>
      <c r="E22" s="1">
        <v>45243</v>
      </c>
      <c r="F22" s="2"/>
      <c r="G22" s="2"/>
      <c r="H22">
        <v>0</v>
      </c>
      <c r="J22" t="s">
        <v>815</v>
      </c>
    </row>
    <row r="23" spans="1:10" x14ac:dyDescent="0.25">
      <c r="A23" t="s">
        <v>824</v>
      </c>
      <c r="B23" t="s">
        <v>825</v>
      </c>
      <c r="C23" t="s">
        <v>826</v>
      </c>
      <c r="D23" t="s">
        <v>827</v>
      </c>
      <c r="E23" s="1">
        <v>45082</v>
      </c>
      <c r="F23" s="2"/>
      <c r="G23" s="2"/>
      <c r="H23">
        <v>0</v>
      </c>
      <c r="J23" t="s">
        <v>815</v>
      </c>
    </row>
    <row r="24" spans="1:10" x14ac:dyDescent="0.25">
      <c r="A24" t="s">
        <v>828</v>
      </c>
      <c r="B24" t="s">
        <v>813</v>
      </c>
      <c r="C24" t="s">
        <v>799</v>
      </c>
      <c r="D24" t="s">
        <v>77</v>
      </c>
      <c r="E24" s="1">
        <v>44964</v>
      </c>
      <c r="F24" s="2">
        <v>0.45833333333333331</v>
      </c>
      <c r="G24" s="2">
        <v>0.70833333333333337</v>
      </c>
      <c r="H24">
        <v>6</v>
      </c>
      <c r="I24" t="s">
        <v>804</v>
      </c>
      <c r="J24" t="s">
        <v>791</v>
      </c>
    </row>
    <row r="25" spans="1:10" x14ac:dyDescent="0.25">
      <c r="A25" t="s">
        <v>829</v>
      </c>
      <c r="B25" t="s">
        <v>809</v>
      </c>
      <c r="C25" t="s">
        <v>810</v>
      </c>
      <c r="D25" t="s">
        <v>811</v>
      </c>
      <c r="E25" s="1">
        <v>45258</v>
      </c>
      <c r="F25" s="2">
        <v>0.58333333333333337</v>
      </c>
      <c r="G25" s="2">
        <v>0.91666666666666663</v>
      </c>
      <c r="H25">
        <v>8</v>
      </c>
      <c r="I25" t="s">
        <v>790</v>
      </c>
      <c r="J25" t="s">
        <v>791</v>
      </c>
    </row>
    <row r="26" spans="1:10" x14ac:dyDescent="0.25">
      <c r="A26" t="s">
        <v>830</v>
      </c>
      <c r="B26" t="s">
        <v>798</v>
      </c>
      <c r="C26" t="s">
        <v>799</v>
      </c>
      <c r="D26" t="s">
        <v>24</v>
      </c>
      <c r="E26" s="1">
        <v>45057</v>
      </c>
      <c r="F26" s="2">
        <v>0.41666666666666669</v>
      </c>
      <c r="G26" s="2">
        <v>0.79166666666666663</v>
      </c>
      <c r="H26">
        <v>9</v>
      </c>
      <c r="I26" t="s">
        <v>804</v>
      </c>
      <c r="J26" t="s">
        <v>791</v>
      </c>
    </row>
    <row r="27" spans="1:10" x14ac:dyDescent="0.25">
      <c r="A27" t="s">
        <v>831</v>
      </c>
      <c r="B27" t="s">
        <v>808</v>
      </c>
      <c r="C27" t="s">
        <v>789</v>
      </c>
      <c r="D27" t="s">
        <v>24</v>
      </c>
      <c r="E27" s="1">
        <v>45154</v>
      </c>
      <c r="F27" s="2"/>
      <c r="G27" s="2"/>
      <c r="H27">
        <v>0</v>
      </c>
      <c r="J27" t="s">
        <v>815</v>
      </c>
    </row>
    <row r="28" spans="1:10" x14ac:dyDescent="0.25">
      <c r="A28" t="s">
        <v>832</v>
      </c>
      <c r="B28" t="s">
        <v>788</v>
      </c>
      <c r="C28" t="s">
        <v>789</v>
      </c>
      <c r="D28" t="s">
        <v>83</v>
      </c>
      <c r="E28" s="1">
        <v>44942</v>
      </c>
      <c r="F28" s="2">
        <v>0.5</v>
      </c>
      <c r="G28" s="2">
        <v>0.79166666666666663</v>
      </c>
      <c r="H28">
        <v>7</v>
      </c>
      <c r="I28" t="s">
        <v>790</v>
      </c>
      <c r="J28" t="s">
        <v>791</v>
      </c>
    </row>
    <row r="29" spans="1:10" x14ac:dyDescent="0.25">
      <c r="A29" t="s">
        <v>833</v>
      </c>
      <c r="B29" t="s">
        <v>794</v>
      </c>
      <c r="C29" t="s">
        <v>795</v>
      </c>
      <c r="D29" t="s">
        <v>796</v>
      </c>
      <c r="E29" s="1">
        <v>45069</v>
      </c>
      <c r="F29" s="2">
        <v>0.25</v>
      </c>
      <c r="G29" s="2">
        <v>0.54166666666666663</v>
      </c>
      <c r="H29">
        <v>7</v>
      </c>
      <c r="I29" t="s">
        <v>804</v>
      </c>
      <c r="J29" t="s">
        <v>791</v>
      </c>
    </row>
    <row r="30" spans="1:10" x14ac:dyDescent="0.25">
      <c r="A30" t="s">
        <v>834</v>
      </c>
      <c r="B30" t="s">
        <v>808</v>
      </c>
      <c r="C30" t="s">
        <v>789</v>
      </c>
      <c r="D30" t="s">
        <v>24</v>
      </c>
      <c r="E30" s="1">
        <v>45264</v>
      </c>
      <c r="F30" s="2"/>
      <c r="G30" s="2"/>
      <c r="H30">
        <v>0</v>
      </c>
      <c r="J30" t="s">
        <v>815</v>
      </c>
    </row>
    <row r="31" spans="1:10" hidden="1" x14ac:dyDescent="0.25">
      <c r="E31" s="1"/>
      <c r="F31" s="2"/>
      <c r="G31" s="2"/>
    </row>
    <row r="32" spans="1:10" x14ac:dyDescent="0.25">
      <c r="A32" t="s">
        <v>835</v>
      </c>
      <c r="B32" t="s">
        <v>798</v>
      </c>
      <c r="C32" t="s">
        <v>799</v>
      </c>
      <c r="D32" t="s">
        <v>24</v>
      </c>
      <c r="E32" s="1">
        <v>45218</v>
      </c>
      <c r="F32" s="2">
        <v>0.375</v>
      </c>
      <c r="G32" s="2">
        <v>0.625</v>
      </c>
      <c r="H32">
        <v>6</v>
      </c>
      <c r="I32" t="s">
        <v>804</v>
      </c>
      <c r="J32" t="s">
        <v>791</v>
      </c>
    </row>
    <row r="33" spans="1:10" x14ac:dyDescent="0.25">
      <c r="A33" t="s">
        <v>836</v>
      </c>
      <c r="B33" t="s">
        <v>801</v>
      </c>
      <c r="C33" t="s">
        <v>620</v>
      </c>
      <c r="D33" t="s">
        <v>802</v>
      </c>
      <c r="E33" s="1">
        <v>44993</v>
      </c>
      <c r="F33" s="2">
        <v>0.45833333333333331</v>
      </c>
      <c r="G33" s="2">
        <v>0.79166666666666663</v>
      </c>
      <c r="H33">
        <v>8</v>
      </c>
      <c r="I33" t="s">
        <v>804</v>
      </c>
      <c r="J33" t="s">
        <v>791</v>
      </c>
    </row>
    <row r="34" spans="1:10" x14ac:dyDescent="0.25">
      <c r="A34" t="s">
        <v>837</v>
      </c>
      <c r="B34" t="s">
        <v>808</v>
      </c>
      <c r="C34" t="s">
        <v>789</v>
      </c>
      <c r="D34" t="s">
        <v>24</v>
      </c>
      <c r="E34" s="1">
        <v>45116</v>
      </c>
      <c r="F34" s="2">
        <v>0.41666666666666669</v>
      </c>
      <c r="G34" s="2">
        <v>0.75</v>
      </c>
      <c r="H34">
        <v>8</v>
      </c>
      <c r="I34" t="s">
        <v>804</v>
      </c>
      <c r="J34" t="s">
        <v>791</v>
      </c>
    </row>
    <row r="35" spans="1:10" x14ac:dyDescent="0.25">
      <c r="A35" t="s">
        <v>838</v>
      </c>
      <c r="B35" t="s">
        <v>798</v>
      </c>
      <c r="C35" t="s">
        <v>799</v>
      </c>
      <c r="D35" t="s">
        <v>24</v>
      </c>
      <c r="E35" s="1">
        <v>45054</v>
      </c>
      <c r="F35" s="2">
        <v>0.33333333333333331</v>
      </c>
      <c r="G35" s="2">
        <v>0.66666666666666663</v>
      </c>
      <c r="H35">
        <v>8</v>
      </c>
      <c r="I35" t="s">
        <v>804</v>
      </c>
      <c r="J35" t="s">
        <v>791</v>
      </c>
    </row>
    <row r="36" spans="1:10" x14ac:dyDescent="0.25">
      <c r="A36" t="s">
        <v>839</v>
      </c>
      <c r="B36" t="s">
        <v>813</v>
      </c>
      <c r="C36" t="s">
        <v>799</v>
      </c>
      <c r="D36" t="s">
        <v>77</v>
      </c>
      <c r="E36" s="1">
        <v>45041</v>
      </c>
      <c r="F36" s="2">
        <v>0.375</v>
      </c>
      <c r="G36" s="2">
        <v>0.66666666666666663</v>
      </c>
      <c r="H36">
        <v>7</v>
      </c>
      <c r="I36" t="s">
        <v>804</v>
      </c>
      <c r="J36" t="s">
        <v>791</v>
      </c>
    </row>
    <row r="37" spans="1:10" x14ac:dyDescent="0.25">
      <c r="A37" t="s">
        <v>840</v>
      </c>
      <c r="B37" t="s">
        <v>788</v>
      </c>
      <c r="C37" t="s">
        <v>789</v>
      </c>
      <c r="D37" t="s">
        <v>83</v>
      </c>
      <c r="E37" s="1">
        <v>45255</v>
      </c>
      <c r="F37" s="2"/>
      <c r="G37" s="2"/>
      <c r="H37">
        <v>0</v>
      </c>
      <c r="J37" t="s">
        <v>815</v>
      </c>
    </row>
    <row r="38" spans="1:10" x14ac:dyDescent="0.25">
      <c r="A38" t="s">
        <v>841</v>
      </c>
      <c r="B38" t="s">
        <v>825</v>
      </c>
      <c r="C38" t="s">
        <v>826</v>
      </c>
      <c r="D38" t="s">
        <v>827</v>
      </c>
      <c r="E38" s="1">
        <v>45116</v>
      </c>
      <c r="F38" s="2">
        <v>0.375</v>
      </c>
      <c r="G38" s="2">
        <v>0.70833333333333337</v>
      </c>
      <c r="H38">
        <v>8</v>
      </c>
      <c r="I38" t="s">
        <v>804</v>
      </c>
      <c r="J38" t="s">
        <v>791</v>
      </c>
    </row>
    <row r="39" spans="1:10" x14ac:dyDescent="0.25">
      <c r="A39" t="s">
        <v>842</v>
      </c>
      <c r="B39" t="s">
        <v>798</v>
      </c>
      <c r="C39" t="s">
        <v>799</v>
      </c>
      <c r="D39" t="s">
        <v>24</v>
      </c>
      <c r="E39" s="1">
        <v>44983</v>
      </c>
      <c r="F39" s="2">
        <v>0.54166666666666663</v>
      </c>
      <c r="G39" s="2">
        <v>0.95833333333333337</v>
      </c>
      <c r="H39">
        <v>10</v>
      </c>
      <c r="I39" t="s">
        <v>790</v>
      </c>
      <c r="J39" t="s">
        <v>791</v>
      </c>
    </row>
    <row r="40" spans="1:10" x14ac:dyDescent="0.25">
      <c r="A40" t="s">
        <v>843</v>
      </c>
      <c r="B40" t="s">
        <v>825</v>
      </c>
      <c r="C40" t="s">
        <v>826</v>
      </c>
      <c r="D40" t="s">
        <v>827</v>
      </c>
      <c r="E40" s="1">
        <v>44987</v>
      </c>
      <c r="F40" s="2"/>
      <c r="G40" s="2"/>
      <c r="H40">
        <v>0</v>
      </c>
      <c r="J40" t="s">
        <v>815</v>
      </c>
    </row>
    <row r="41" spans="1:10" x14ac:dyDescent="0.25">
      <c r="A41" t="s">
        <v>844</v>
      </c>
      <c r="B41" t="s">
        <v>788</v>
      </c>
      <c r="C41" t="s">
        <v>789</v>
      </c>
      <c r="D41" t="s">
        <v>83</v>
      </c>
      <c r="E41" s="1">
        <v>45145</v>
      </c>
      <c r="F41" s="2">
        <v>0.54166666666666663</v>
      </c>
      <c r="G41" s="2">
        <v>0.79166666666666663</v>
      </c>
      <c r="H41">
        <v>6</v>
      </c>
      <c r="I41" t="s">
        <v>790</v>
      </c>
      <c r="J41" t="s">
        <v>791</v>
      </c>
    </row>
    <row r="42" spans="1:10" x14ac:dyDescent="0.25">
      <c r="A42" t="s">
        <v>845</v>
      </c>
      <c r="B42" t="s">
        <v>801</v>
      </c>
      <c r="C42" t="s">
        <v>620</v>
      </c>
      <c r="D42" t="s">
        <v>802</v>
      </c>
      <c r="E42" s="1">
        <v>45111</v>
      </c>
      <c r="F42" s="2">
        <v>0.54166666666666663</v>
      </c>
      <c r="G42" s="2">
        <v>0.91666666666666663</v>
      </c>
      <c r="H42">
        <v>9</v>
      </c>
      <c r="I42" t="s">
        <v>790</v>
      </c>
      <c r="J42" t="s">
        <v>791</v>
      </c>
    </row>
    <row r="43" spans="1:10" x14ac:dyDescent="0.25">
      <c r="A43" t="s">
        <v>846</v>
      </c>
      <c r="B43" t="s">
        <v>813</v>
      </c>
      <c r="C43" t="s">
        <v>799</v>
      </c>
      <c r="D43" t="s">
        <v>77</v>
      </c>
      <c r="E43" s="1">
        <v>44963</v>
      </c>
      <c r="F43" s="2">
        <v>0.58333333333333337</v>
      </c>
      <c r="G43" s="2">
        <v>0.875</v>
      </c>
      <c r="H43">
        <v>7</v>
      </c>
      <c r="I43" t="s">
        <v>790</v>
      </c>
      <c r="J43" t="s">
        <v>791</v>
      </c>
    </row>
    <row r="44" spans="1:10" x14ac:dyDescent="0.25">
      <c r="A44" t="s">
        <v>847</v>
      </c>
      <c r="B44" t="s">
        <v>825</v>
      </c>
      <c r="C44" t="s">
        <v>826</v>
      </c>
      <c r="D44" t="s">
        <v>827</v>
      </c>
      <c r="E44" s="1">
        <v>44983</v>
      </c>
      <c r="F44" s="2"/>
      <c r="G44" s="2"/>
      <c r="H44">
        <v>0</v>
      </c>
      <c r="J44" t="s">
        <v>815</v>
      </c>
    </row>
    <row r="45" spans="1:10" x14ac:dyDescent="0.25">
      <c r="A45" t="s">
        <v>848</v>
      </c>
      <c r="B45" t="s">
        <v>808</v>
      </c>
      <c r="C45" t="s">
        <v>789</v>
      </c>
      <c r="D45" t="s">
        <v>24</v>
      </c>
      <c r="E45" s="1">
        <v>45188</v>
      </c>
      <c r="F45" s="2"/>
      <c r="G45" s="2"/>
      <c r="H45">
        <v>0</v>
      </c>
      <c r="J45" t="s">
        <v>815</v>
      </c>
    </row>
    <row r="46" spans="1:10" x14ac:dyDescent="0.25">
      <c r="A46" t="s">
        <v>849</v>
      </c>
      <c r="B46" t="s">
        <v>801</v>
      </c>
      <c r="C46" t="s">
        <v>620</v>
      </c>
      <c r="D46" t="s">
        <v>802</v>
      </c>
      <c r="E46" s="1">
        <v>45166</v>
      </c>
      <c r="F46" s="2">
        <v>0.54166666666666663</v>
      </c>
      <c r="G46" s="2">
        <v>0.83333333333333337</v>
      </c>
      <c r="H46">
        <v>7</v>
      </c>
      <c r="I46" t="s">
        <v>790</v>
      </c>
      <c r="J46" t="s">
        <v>791</v>
      </c>
    </row>
    <row r="47" spans="1:10" x14ac:dyDescent="0.25">
      <c r="A47" t="s">
        <v>850</v>
      </c>
      <c r="B47" t="s">
        <v>794</v>
      </c>
      <c r="C47" t="s">
        <v>795</v>
      </c>
      <c r="D47" t="s">
        <v>796</v>
      </c>
      <c r="E47" s="1">
        <v>44977</v>
      </c>
      <c r="F47" s="2"/>
      <c r="G47" s="2"/>
      <c r="H47">
        <v>0</v>
      </c>
      <c r="J47" t="s">
        <v>815</v>
      </c>
    </row>
    <row r="48" spans="1:10" x14ac:dyDescent="0.25">
      <c r="A48" t="s">
        <v>851</v>
      </c>
      <c r="B48" t="s">
        <v>798</v>
      </c>
      <c r="C48" t="s">
        <v>799</v>
      </c>
      <c r="D48" t="s">
        <v>24</v>
      </c>
      <c r="E48" s="1">
        <v>44988</v>
      </c>
      <c r="F48" s="2">
        <v>0.54166666666666663</v>
      </c>
      <c r="G48" s="2">
        <v>0.91666666666666663</v>
      </c>
      <c r="H48">
        <v>9</v>
      </c>
      <c r="I48" t="s">
        <v>790</v>
      </c>
      <c r="J48" t="s">
        <v>791</v>
      </c>
    </row>
    <row r="49" spans="1:10" x14ac:dyDescent="0.25">
      <c r="A49" t="s">
        <v>852</v>
      </c>
      <c r="B49" t="s">
        <v>813</v>
      </c>
      <c r="C49" t="s">
        <v>799</v>
      </c>
      <c r="D49" t="s">
        <v>77</v>
      </c>
      <c r="E49" s="1">
        <v>45256</v>
      </c>
      <c r="F49" s="2">
        <v>0.54166666666666663</v>
      </c>
      <c r="G49" s="2">
        <v>0.79166666666666663</v>
      </c>
      <c r="H49">
        <v>6</v>
      </c>
      <c r="I49" t="s">
        <v>790</v>
      </c>
      <c r="J49" t="s">
        <v>791</v>
      </c>
    </row>
    <row r="50" spans="1:10" x14ac:dyDescent="0.25">
      <c r="A50" t="s">
        <v>853</v>
      </c>
      <c r="B50" t="s">
        <v>809</v>
      </c>
      <c r="C50" t="s">
        <v>810</v>
      </c>
      <c r="D50" t="s">
        <v>811</v>
      </c>
      <c r="E50" s="1">
        <v>45267</v>
      </c>
      <c r="F50" s="2"/>
      <c r="G50" s="2"/>
      <c r="H50">
        <v>0</v>
      </c>
      <c r="J50" t="s">
        <v>815</v>
      </c>
    </row>
    <row r="51" spans="1:10" x14ac:dyDescent="0.25">
      <c r="A51" t="s">
        <v>854</v>
      </c>
      <c r="B51" t="s">
        <v>825</v>
      </c>
      <c r="C51" t="s">
        <v>826</v>
      </c>
      <c r="D51" t="s">
        <v>827</v>
      </c>
      <c r="E51" s="1">
        <v>45091</v>
      </c>
      <c r="F51" s="2">
        <v>0.25</v>
      </c>
      <c r="G51" s="2">
        <v>0.58333333333333337</v>
      </c>
      <c r="H51">
        <v>8</v>
      </c>
      <c r="I51" t="s">
        <v>804</v>
      </c>
      <c r="J51" t="s">
        <v>791</v>
      </c>
    </row>
    <row r="52" spans="1:10" x14ac:dyDescent="0.25">
      <c r="A52" t="s">
        <v>855</v>
      </c>
      <c r="B52" t="s">
        <v>808</v>
      </c>
      <c r="C52" t="s">
        <v>789</v>
      </c>
      <c r="D52" t="s">
        <v>24</v>
      </c>
      <c r="E52" s="1">
        <v>45285</v>
      </c>
      <c r="F52" s="2">
        <v>0.375</v>
      </c>
      <c r="G52" s="2">
        <v>0.625</v>
      </c>
      <c r="H52">
        <v>6</v>
      </c>
      <c r="I52" t="s">
        <v>804</v>
      </c>
      <c r="J52" t="s">
        <v>791</v>
      </c>
    </row>
    <row r="53" spans="1:10" x14ac:dyDescent="0.25">
      <c r="A53" t="s">
        <v>856</v>
      </c>
      <c r="B53" t="s">
        <v>798</v>
      </c>
      <c r="C53" t="s">
        <v>799</v>
      </c>
      <c r="D53" t="s">
        <v>24</v>
      </c>
      <c r="E53" s="1">
        <v>45157</v>
      </c>
      <c r="F53" s="2">
        <v>0.375</v>
      </c>
      <c r="G53" s="2">
        <v>0.625</v>
      </c>
      <c r="H53">
        <v>6</v>
      </c>
      <c r="I53" t="s">
        <v>804</v>
      </c>
      <c r="J53" t="s">
        <v>791</v>
      </c>
    </row>
    <row r="54" spans="1:10" x14ac:dyDescent="0.25">
      <c r="A54" t="s">
        <v>857</v>
      </c>
      <c r="B54" t="s">
        <v>808</v>
      </c>
      <c r="C54" t="s">
        <v>789</v>
      </c>
      <c r="D54" t="s">
        <v>24</v>
      </c>
      <c r="E54" s="1">
        <v>45025</v>
      </c>
      <c r="F54" s="2">
        <v>0.41666666666666669</v>
      </c>
      <c r="G54" s="2">
        <v>0.75</v>
      </c>
      <c r="H54">
        <v>8</v>
      </c>
      <c r="I54" t="s">
        <v>804</v>
      </c>
      <c r="J54" t="s">
        <v>791</v>
      </c>
    </row>
    <row r="55" spans="1:10" x14ac:dyDescent="0.25">
      <c r="A55" t="s">
        <v>858</v>
      </c>
      <c r="B55" t="s">
        <v>798</v>
      </c>
      <c r="C55" t="s">
        <v>799</v>
      </c>
      <c r="D55" t="s">
        <v>24</v>
      </c>
      <c r="E55" s="1">
        <v>45132</v>
      </c>
      <c r="F55" s="2">
        <v>0.25</v>
      </c>
      <c r="G55" s="2">
        <v>0.54166666666666663</v>
      </c>
      <c r="H55">
        <v>7</v>
      </c>
      <c r="I55" t="s">
        <v>804</v>
      </c>
      <c r="J55" t="s">
        <v>791</v>
      </c>
    </row>
    <row r="56" spans="1:10" x14ac:dyDescent="0.25">
      <c r="A56" t="s">
        <v>859</v>
      </c>
      <c r="B56" t="s">
        <v>809</v>
      </c>
      <c r="C56" t="s">
        <v>810</v>
      </c>
      <c r="D56" t="s">
        <v>811</v>
      </c>
      <c r="E56" s="1">
        <v>45046</v>
      </c>
      <c r="F56" s="2">
        <v>0.29166666666666669</v>
      </c>
      <c r="G56" s="2">
        <v>0.66666666666666663</v>
      </c>
      <c r="H56">
        <v>9</v>
      </c>
      <c r="I56" t="s">
        <v>804</v>
      </c>
      <c r="J56" t="s">
        <v>791</v>
      </c>
    </row>
    <row r="57" spans="1:10" x14ac:dyDescent="0.25">
      <c r="A57" t="s">
        <v>860</v>
      </c>
      <c r="B57" t="s">
        <v>809</v>
      </c>
      <c r="C57" t="s">
        <v>810</v>
      </c>
      <c r="D57" t="s">
        <v>811</v>
      </c>
      <c r="E57" s="1">
        <v>45271</v>
      </c>
      <c r="F57" s="2">
        <v>0.375</v>
      </c>
      <c r="G57" s="2">
        <v>0.79166666666666663</v>
      </c>
      <c r="H57">
        <v>10</v>
      </c>
      <c r="I57" t="s">
        <v>804</v>
      </c>
      <c r="J57" t="s">
        <v>791</v>
      </c>
    </row>
    <row r="58" spans="1:10" x14ac:dyDescent="0.25">
      <c r="A58" t="s">
        <v>861</v>
      </c>
      <c r="B58" t="s">
        <v>809</v>
      </c>
      <c r="C58" t="s">
        <v>810</v>
      </c>
      <c r="D58" t="s">
        <v>811</v>
      </c>
      <c r="E58" s="1">
        <v>45030</v>
      </c>
      <c r="F58" s="2">
        <v>0.41666666666666669</v>
      </c>
      <c r="G58" s="2">
        <v>0.79166666666666663</v>
      </c>
      <c r="H58">
        <v>9</v>
      </c>
      <c r="I58" t="s">
        <v>804</v>
      </c>
      <c r="J58" t="s">
        <v>791</v>
      </c>
    </row>
    <row r="59" spans="1:10" x14ac:dyDescent="0.25">
      <c r="A59" t="s">
        <v>862</v>
      </c>
      <c r="B59" t="s">
        <v>794</v>
      </c>
      <c r="C59" t="s">
        <v>795</v>
      </c>
      <c r="D59" t="s">
        <v>796</v>
      </c>
      <c r="E59" s="1">
        <v>44943</v>
      </c>
      <c r="F59" s="2">
        <v>0.5</v>
      </c>
      <c r="G59" s="2">
        <v>0.79166666666666663</v>
      </c>
      <c r="H59">
        <v>7</v>
      </c>
      <c r="I59" t="s">
        <v>790</v>
      </c>
      <c r="J59" t="s">
        <v>791</v>
      </c>
    </row>
    <row r="60" spans="1:10" x14ac:dyDescent="0.25">
      <c r="A60" t="s">
        <v>863</v>
      </c>
      <c r="B60" t="s">
        <v>813</v>
      </c>
      <c r="C60" t="s">
        <v>799</v>
      </c>
      <c r="D60" t="s">
        <v>77</v>
      </c>
      <c r="E60" s="1">
        <v>45218</v>
      </c>
      <c r="F60" s="2">
        <v>0.45833333333333331</v>
      </c>
      <c r="G60" s="2">
        <v>0.75</v>
      </c>
      <c r="H60">
        <v>7</v>
      </c>
      <c r="I60" t="s">
        <v>804</v>
      </c>
      <c r="J60" t="s">
        <v>791</v>
      </c>
    </row>
    <row r="61" spans="1:10" x14ac:dyDescent="0.25">
      <c r="A61" t="s">
        <v>864</v>
      </c>
      <c r="B61" t="s">
        <v>813</v>
      </c>
      <c r="C61" t="s">
        <v>799</v>
      </c>
      <c r="D61" t="s">
        <v>77</v>
      </c>
      <c r="E61" s="1">
        <v>45006</v>
      </c>
      <c r="F61" s="2">
        <v>0.41666666666666669</v>
      </c>
      <c r="G61" s="2">
        <v>0.83333333333333337</v>
      </c>
      <c r="H61">
        <v>10</v>
      </c>
      <c r="I61" t="s">
        <v>804</v>
      </c>
      <c r="J61" t="s">
        <v>791</v>
      </c>
    </row>
    <row r="62" spans="1:10" x14ac:dyDescent="0.25">
      <c r="A62" t="s">
        <v>865</v>
      </c>
      <c r="B62" t="s">
        <v>825</v>
      </c>
      <c r="C62" t="s">
        <v>826</v>
      </c>
      <c r="D62" t="s">
        <v>827</v>
      </c>
      <c r="E62" s="1">
        <v>44997</v>
      </c>
      <c r="F62" s="2">
        <v>0.41666666666666669</v>
      </c>
      <c r="G62" s="2">
        <v>0.70833333333333337</v>
      </c>
      <c r="H62">
        <v>7</v>
      </c>
      <c r="I62" t="s">
        <v>804</v>
      </c>
      <c r="J62" t="s">
        <v>791</v>
      </c>
    </row>
    <row r="63" spans="1:10" x14ac:dyDescent="0.25">
      <c r="A63" t="s">
        <v>866</v>
      </c>
      <c r="B63" t="s">
        <v>825</v>
      </c>
      <c r="C63" t="s">
        <v>826</v>
      </c>
      <c r="D63" t="s">
        <v>827</v>
      </c>
      <c r="E63" s="1">
        <v>45003</v>
      </c>
      <c r="F63" s="2">
        <v>0.33333333333333331</v>
      </c>
      <c r="G63" s="2">
        <v>0.75</v>
      </c>
      <c r="H63">
        <v>10</v>
      </c>
      <c r="I63" t="s">
        <v>804</v>
      </c>
      <c r="J63" t="s">
        <v>791</v>
      </c>
    </row>
    <row r="64" spans="1:10" x14ac:dyDescent="0.25">
      <c r="A64" t="s">
        <v>867</v>
      </c>
      <c r="B64" t="s">
        <v>813</v>
      </c>
      <c r="C64" t="s">
        <v>799</v>
      </c>
      <c r="D64" t="s">
        <v>77</v>
      </c>
      <c r="E64" s="1">
        <v>45012</v>
      </c>
      <c r="F64" s="2"/>
      <c r="G64" s="2"/>
      <c r="H64">
        <v>0</v>
      </c>
      <c r="J64" t="s">
        <v>815</v>
      </c>
    </row>
    <row r="65" spans="1:10" x14ac:dyDescent="0.25">
      <c r="A65" t="s">
        <v>868</v>
      </c>
      <c r="B65" t="s">
        <v>809</v>
      </c>
      <c r="C65" t="s">
        <v>810</v>
      </c>
      <c r="D65" t="s">
        <v>811</v>
      </c>
      <c r="E65" s="1">
        <v>45136</v>
      </c>
      <c r="F65" s="2">
        <v>0.41666666666666669</v>
      </c>
      <c r="G65" s="2">
        <v>0.83333333333333337</v>
      </c>
      <c r="H65">
        <v>10</v>
      </c>
      <c r="I65" t="s">
        <v>804</v>
      </c>
      <c r="J65" t="s">
        <v>791</v>
      </c>
    </row>
    <row r="66" spans="1:10" x14ac:dyDescent="0.25">
      <c r="A66" t="s">
        <v>869</v>
      </c>
      <c r="B66" t="s">
        <v>808</v>
      </c>
      <c r="C66" t="s">
        <v>789</v>
      </c>
      <c r="D66" t="s">
        <v>24</v>
      </c>
      <c r="E66" s="1">
        <v>45064</v>
      </c>
      <c r="F66" s="2">
        <v>0.5</v>
      </c>
      <c r="G66" s="2">
        <v>0.75</v>
      </c>
      <c r="H66">
        <v>6</v>
      </c>
      <c r="I66" t="s">
        <v>790</v>
      </c>
      <c r="J66" t="s">
        <v>791</v>
      </c>
    </row>
    <row r="67" spans="1:10" x14ac:dyDescent="0.25">
      <c r="A67" t="s">
        <v>870</v>
      </c>
      <c r="B67" t="s">
        <v>798</v>
      </c>
      <c r="C67" t="s">
        <v>799</v>
      </c>
      <c r="D67" t="s">
        <v>24</v>
      </c>
      <c r="E67" s="1">
        <v>44935</v>
      </c>
      <c r="F67" s="2">
        <v>0.41666666666666669</v>
      </c>
      <c r="G67" s="2">
        <v>0.66666666666666663</v>
      </c>
      <c r="H67">
        <v>6</v>
      </c>
      <c r="I67" t="s">
        <v>804</v>
      </c>
      <c r="J67" t="s">
        <v>791</v>
      </c>
    </row>
    <row r="68" spans="1:10" x14ac:dyDescent="0.25">
      <c r="A68" t="s">
        <v>871</v>
      </c>
      <c r="B68" t="s">
        <v>808</v>
      </c>
      <c r="C68" t="s">
        <v>789</v>
      </c>
      <c r="D68" t="s">
        <v>24</v>
      </c>
      <c r="E68" s="1">
        <v>44997</v>
      </c>
      <c r="F68" s="2">
        <v>0.5</v>
      </c>
      <c r="G68" s="2">
        <v>0.75</v>
      </c>
      <c r="H68">
        <v>6</v>
      </c>
      <c r="I68" t="s">
        <v>790</v>
      </c>
      <c r="J68" t="s">
        <v>791</v>
      </c>
    </row>
    <row r="69" spans="1:10" x14ac:dyDescent="0.25">
      <c r="A69" t="s">
        <v>872</v>
      </c>
      <c r="B69" t="s">
        <v>801</v>
      </c>
      <c r="C69" t="s">
        <v>620</v>
      </c>
      <c r="D69" t="s">
        <v>802</v>
      </c>
      <c r="E69" s="1">
        <v>45266</v>
      </c>
      <c r="F69" s="2"/>
      <c r="G69" s="2"/>
      <c r="H69">
        <v>0</v>
      </c>
      <c r="J69" t="s">
        <v>815</v>
      </c>
    </row>
    <row r="70" spans="1:10" x14ac:dyDescent="0.25">
      <c r="A70" t="s">
        <v>873</v>
      </c>
      <c r="B70" t="s">
        <v>809</v>
      </c>
      <c r="C70" t="s">
        <v>810</v>
      </c>
      <c r="D70" t="s">
        <v>811</v>
      </c>
      <c r="E70" s="1">
        <v>45263</v>
      </c>
      <c r="F70" s="2"/>
      <c r="G70" s="2"/>
      <c r="H70">
        <v>0</v>
      </c>
      <c r="J70" t="s">
        <v>815</v>
      </c>
    </row>
    <row r="71" spans="1:10" x14ac:dyDescent="0.25">
      <c r="A71" t="s">
        <v>874</v>
      </c>
      <c r="B71" t="s">
        <v>788</v>
      </c>
      <c r="C71" t="s">
        <v>789</v>
      </c>
      <c r="D71" t="s">
        <v>83</v>
      </c>
      <c r="E71" s="1">
        <v>45150</v>
      </c>
      <c r="F71" s="2">
        <v>0.29166666666666669</v>
      </c>
      <c r="G71" s="2">
        <v>0.70833333333333337</v>
      </c>
      <c r="H71">
        <v>10</v>
      </c>
      <c r="I71" t="s">
        <v>804</v>
      </c>
      <c r="J71" t="s">
        <v>791</v>
      </c>
    </row>
    <row r="72" spans="1:10" x14ac:dyDescent="0.25">
      <c r="A72" t="s">
        <v>875</v>
      </c>
      <c r="B72" t="s">
        <v>808</v>
      </c>
      <c r="C72" t="s">
        <v>789</v>
      </c>
      <c r="D72" t="s">
        <v>24</v>
      </c>
      <c r="E72" s="1">
        <v>45281</v>
      </c>
      <c r="F72" s="2">
        <v>0.41666666666666669</v>
      </c>
      <c r="G72" s="2">
        <v>0.70833333333333337</v>
      </c>
      <c r="H72">
        <v>7</v>
      </c>
      <c r="I72" t="s">
        <v>804</v>
      </c>
      <c r="J72" t="s">
        <v>791</v>
      </c>
    </row>
    <row r="73" spans="1:10" x14ac:dyDescent="0.25">
      <c r="A73" t="s">
        <v>876</v>
      </c>
      <c r="B73" t="s">
        <v>801</v>
      </c>
      <c r="C73" t="s">
        <v>620</v>
      </c>
      <c r="D73" t="s">
        <v>802</v>
      </c>
      <c r="E73" s="1">
        <v>45273</v>
      </c>
      <c r="F73" s="2">
        <v>0.29166666666666669</v>
      </c>
      <c r="G73" s="2">
        <v>0.54166666666666663</v>
      </c>
      <c r="H73">
        <v>6</v>
      </c>
      <c r="I73" t="s">
        <v>804</v>
      </c>
      <c r="J73" t="s">
        <v>791</v>
      </c>
    </row>
    <row r="74" spans="1:10" x14ac:dyDescent="0.25">
      <c r="A74" t="s">
        <v>877</v>
      </c>
      <c r="B74" t="s">
        <v>788</v>
      </c>
      <c r="C74" t="s">
        <v>789</v>
      </c>
      <c r="D74" t="s">
        <v>83</v>
      </c>
      <c r="E74" s="1">
        <v>45271</v>
      </c>
      <c r="F74" s="2">
        <v>0.45833333333333331</v>
      </c>
      <c r="G74" s="2">
        <v>0.70833333333333337</v>
      </c>
      <c r="H74">
        <v>6</v>
      </c>
      <c r="I74" t="s">
        <v>804</v>
      </c>
      <c r="J74" t="s">
        <v>791</v>
      </c>
    </row>
    <row r="75" spans="1:10" x14ac:dyDescent="0.25">
      <c r="A75" t="s">
        <v>878</v>
      </c>
      <c r="B75" t="s">
        <v>808</v>
      </c>
      <c r="C75" t="s">
        <v>789</v>
      </c>
      <c r="D75" t="s">
        <v>24</v>
      </c>
      <c r="E75" s="1">
        <v>45165</v>
      </c>
      <c r="F75" s="2"/>
      <c r="G75" s="2"/>
      <c r="H75">
        <v>0</v>
      </c>
      <c r="J75" t="s">
        <v>815</v>
      </c>
    </row>
    <row r="76" spans="1:10" x14ac:dyDescent="0.25">
      <c r="A76" t="s">
        <v>879</v>
      </c>
      <c r="B76" t="s">
        <v>788</v>
      </c>
      <c r="C76" t="s">
        <v>789</v>
      </c>
      <c r="D76" t="s">
        <v>83</v>
      </c>
      <c r="E76" s="1">
        <v>45204</v>
      </c>
      <c r="F76" s="2">
        <v>0.5</v>
      </c>
      <c r="G76" s="2">
        <v>0.875</v>
      </c>
      <c r="H76">
        <v>9</v>
      </c>
      <c r="I76" t="s">
        <v>790</v>
      </c>
      <c r="J76" t="s">
        <v>791</v>
      </c>
    </row>
    <row r="77" spans="1:10" x14ac:dyDescent="0.25">
      <c r="A77" t="s">
        <v>880</v>
      </c>
      <c r="B77" t="s">
        <v>788</v>
      </c>
      <c r="C77" t="s">
        <v>789</v>
      </c>
      <c r="D77" t="s">
        <v>83</v>
      </c>
      <c r="E77" s="1">
        <v>45116</v>
      </c>
      <c r="F77" s="2">
        <v>0.45833333333333331</v>
      </c>
      <c r="G77" s="2">
        <v>0.83333333333333337</v>
      </c>
      <c r="H77">
        <v>9</v>
      </c>
      <c r="I77" t="s">
        <v>804</v>
      </c>
      <c r="J77" t="s">
        <v>791</v>
      </c>
    </row>
    <row r="78" spans="1:10" x14ac:dyDescent="0.25">
      <c r="A78" t="s">
        <v>881</v>
      </c>
      <c r="B78" t="s">
        <v>794</v>
      </c>
      <c r="C78" t="s">
        <v>795</v>
      </c>
      <c r="D78" t="s">
        <v>796</v>
      </c>
      <c r="E78" s="1">
        <v>44992</v>
      </c>
      <c r="F78" s="2">
        <v>0.375</v>
      </c>
      <c r="G78" s="2">
        <v>0.66666666666666663</v>
      </c>
      <c r="H78">
        <v>7</v>
      </c>
      <c r="I78" t="s">
        <v>804</v>
      </c>
      <c r="J78" t="s">
        <v>791</v>
      </c>
    </row>
    <row r="79" spans="1:10" x14ac:dyDescent="0.25">
      <c r="A79" t="s">
        <v>882</v>
      </c>
      <c r="B79" t="s">
        <v>808</v>
      </c>
      <c r="C79" t="s">
        <v>789</v>
      </c>
      <c r="D79" t="s">
        <v>24</v>
      </c>
      <c r="E79" s="1">
        <v>45134</v>
      </c>
      <c r="F79" s="2">
        <v>0.5</v>
      </c>
      <c r="G79" s="2">
        <v>0.75</v>
      </c>
      <c r="H79">
        <v>6</v>
      </c>
      <c r="I79" t="s">
        <v>790</v>
      </c>
      <c r="J79" t="s">
        <v>791</v>
      </c>
    </row>
    <row r="80" spans="1:10" x14ac:dyDescent="0.25">
      <c r="A80" t="s">
        <v>883</v>
      </c>
      <c r="B80" t="s">
        <v>794</v>
      </c>
      <c r="C80" t="s">
        <v>795</v>
      </c>
      <c r="D80" t="s">
        <v>796</v>
      </c>
      <c r="E80" s="1">
        <v>45222</v>
      </c>
      <c r="F80" s="2">
        <v>0.58333333333333337</v>
      </c>
      <c r="G80" s="2">
        <v>0.91666666666666663</v>
      </c>
      <c r="H80">
        <v>8</v>
      </c>
      <c r="I80" t="s">
        <v>790</v>
      </c>
      <c r="J80" t="s">
        <v>791</v>
      </c>
    </row>
    <row r="81" spans="1:10" x14ac:dyDescent="0.25">
      <c r="A81" t="s">
        <v>884</v>
      </c>
      <c r="B81" t="s">
        <v>825</v>
      </c>
      <c r="C81" t="s">
        <v>826</v>
      </c>
      <c r="D81" t="s">
        <v>827</v>
      </c>
      <c r="E81" s="1">
        <v>45088</v>
      </c>
      <c r="F81" s="2"/>
      <c r="G81" s="2"/>
      <c r="H81">
        <v>0</v>
      </c>
      <c r="J81" t="s">
        <v>815</v>
      </c>
    </row>
    <row r="82" spans="1:10" x14ac:dyDescent="0.25">
      <c r="A82" t="s">
        <v>885</v>
      </c>
      <c r="B82" t="s">
        <v>808</v>
      </c>
      <c r="C82" t="s">
        <v>789</v>
      </c>
      <c r="D82" t="s">
        <v>24</v>
      </c>
      <c r="E82" s="1">
        <v>45128</v>
      </c>
      <c r="F82" s="2">
        <v>0.45833333333333331</v>
      </c>
      <c r="G82" s="2">
        <v>0.70833333333333337</v>
      </c>
      <c r="H82">
        <v>6</v>
      </c>
      <c r="I82" t="s">
        <v>804</v>
      </c>
      <c r="J82" t="s">
        <v>791</v>
      </c>
    </row>
    <row r="83" spans="1:10" x14ac:dyDescent="0.25">
      <c r="A83" t="s">
        <v>886</v>
      </c>
      <c r="B83" t="s">
        <v>788</v>
      </c>
      <c r="C83" t="s">
        <v>789</v>
      </c>
      <c r="D83" t="s">
        <v>83</v>
      </c>
      <c r="E83" s="1">
        <v>45251</v>
      </c>
      <c r="F83" s="2">
        <v>0.375</v>
      </c>
      <c r="G83" s="2">
        <v>0.79166666666666663</v>
      </c>
      <c r="H83">
        <v>10</v>
      </c>
      <c r="I83" t="s">
        <v>804</v>
      </c>
      <c r="J83" t="s">
        <v>791</v>
      </c>
    </row>
    <row r="84" spans="1:10" x14ac:dyDescent="0.25">
      <c r="A84" t="s">
        <v>887</v>
      </c>
      <c r="B84" t="s">
        <v>801</v>
      </c>
      <c r="C84" t="s">
        <v>620</v>
      </c>
      <c r="D84" t="s">
        <v>802</v>
      </c>
      <c r="E84" s="1">
        <v>45259</v>
      </c>
      <c r="F84" s="2">
        <v>0.41666666666666669</v>
      </c>
      <c r="G84" s="2">
        <v>0.70833333333333337</v>
      </c>
      <c r="H84">
        <v>7</v>
      </c>
      <c r="I84" t="s">
        <v>804</v>
      </c>
      <c r="J84" t="s">
        <v>791</v>
      </c>
    </row>
    <row r="85" spans="1:10" x14ac:dyDescent="0.25">
      <c r="A85" t="s">
        <v>888</v>
      </c>
      <c r="B85" t="s">
        <v>813</v>
      </c>
      <c r="C85" t="s">
        <v>799</v>
      </c>
      <c r="D85" t="s">
        <v>77</v>
      </c>
      <c r="E85" s="1">
        <v>45028</v>
      </c>
      <c r="F85" s="2">
        <v>0.25</v>
      </c>
      <c r="G85" s="2">
        <v>0.66666666666666663</v>
      </c>
      <c r="H85">
        <v>10</v>
      </c>
      <c r="I85" t="s">
        <v>804</v>
      </c>
      <c r="J85" t="s">
        <v>791</v>
      </c>
    </row>
    <row r="86" spans="1:10" x14ac:dyDescent="0.25">
      <c r="A86" t="s">
        <v>889</v>
      </c>
      <c r="B86" t="s">
        <v>801</v>
      </c>
      <c r="C86" t="s">
        <v>620</v>
      </c>
      <c r="D86" t="s">
        <v>802</v>
      </c>
      <c r="E86" s="1">
        <v>44941</v>
      </c>
      <c r="F86" s="2"/>
      <c r="G86" s="2"/>
      <c r="H86">
        <v>0</v>
      </c>
      <c r="J86" t="s">
        <v>815</v>
      </c>
    </row>
    <row r="87" spans="1:10" x14ac:dyDescent="0.25">
      <c r="A87" t="s">
        <v>890</v>
      </c>
      <c r="B87" t="s">
        <v>788</v>
      </c>
      <c r="C87" t="s">
        <v>789</v>
      </c>
      <c r="D87" t="s">
        <v>83</v>
      </c>
      <c r="E87" s="1">
        <v>44929</v>
      </c>
      <c r="F87" s="2">
        <v>0.33333333333333331</v>
      </c>
      <c r="G87" s="2">
        <v>0.625</v>
      </c>
      <c r="H87">
        <v>7</v>
      </c>
      <c r="I87" t="s">
        <v>804</v>
      </c>
      <c r="J87" t="s">
        <v>791</v>
      </c>
    </row>
    <row r="88" spans="1:10" x14ac:dyDescent="0.25">
      <c r="A88" t="s">
        <v>891</v>
      </c>
      <c r="B88" t="s">
        <v>788</v>
      </c>
      <c r="C88" t="s">
        <v>789</v>
      </c>
      <c r="D88" t="s">
        <v>83</v>
      </c>
      <c r="E88" s="1">
        <v>44936</v>
      </c>
      <c r="F88" s="2">
        <v>0.25</v>
      </c>
      <c r="G88" s="2">
        <v>0.5</v>
      </c>
      <c r="H88">
        <v>6</v>
      </c>
      <c r="I88" t="s">
        <v>804</v>
      </c>
      <c r="J88" t="s">
        <v>791</v>
      </c>
    </row>
    <row r="89" spans="1:10" x14ac:dyDescent="0.25">
      <c r="A89" t="s">
        <v>892</v>
      </c>
      <c r="B89" t="s">
        <v>788</v>
      </c>
      <c r="C89" t="s">
        <v>789</v>
      </c>
      <c r="D89" t="s">
        <v>83</v>
      </c>
      <c r="E89" s="1">
        <v>45003</v>
      </c>
      <c r="F89" s="2">
        <v>0.54166666666666663</v>
      </c>
      <c r="G89" s="2">
        <v>0.875</v>
      </c>
      <c r="H89">
        <v>8</v>
      </c>
      <c r="I89" t="s">
        <v>790</v>
      </c>
      <c r="J89" t="s">
        <v>791</v>
      </c>
    </row>
    <row r="90" spans="1:10" x14ac:dyDescent="0.25">
      <c r="A90" t="s">
        <v>893</v>
      </c>
      <c r="B90" t="s">
        <v>794</v>
      </c>
      <c r="C90" t="s">
        <v>795</v>
      </c>
      <c r="D90" t="s">
        <v>796</v>
      </c>
      <c r="E90" s="1">
        <v>45076</v>
      </c>
      <c r="F90" s="2">
        <v>0.5</v>
      </c>
      <c r="G90" s="2">
        <v>0.875</v>
      </c>
      <c r="H90">
        <v>9</v>
      </c>
      <c r="I90" t="s">
        <v>790</v>
      </c>
      <c r="J90" t="s">
        <v>791</v>
      </c>
    </row>
    <row r="91" spans="1:10" x14ac:dyDescent="0.25">
      <c r="A91" t="s">
        <v>894</v>
      </c>
      <c r="B91" t="s">
        <v>798</v>
      </c>
      <c r="C91" t="s">
        <v>799</v>
      </c>
      <c r="D91" t="s">
        <v>24</v>
      </c>
      <c r="E91" s="1">
        <v>45062</v>
      </c>
      <c r="F91" s="2"/>
      <c r="G91" s="2"/>
      <c r="H91">
        <v>0</v>
      </c>
      <c r="J91" t="s">
        <v>815</v>
      </c>
    </row>
    <row r="92" spans="1:10" x14ac:dyDescent="0.25">
      <c r="A92" t="s">
        <v>895</v>
      </c>
      <c r="B92" t="s">
        <v>813</v>
      </c>
      <c r="C92" t="s">
        <v>799</v>
      </c>
      <c r="D92" t="s">
        <v>77</v>
      </c>
      <c r="E92" s="1">
        <v>45283</v>
      </c>
      <c r="F92" s="2">
        <v>0.41666666666666669</v>
      </c>
      <c r="G92" s="2">
        <v>0.70833333333333337</v>
      </c>
      <c r="H92">
        <v>7</v>
      </c>
      <c r="I92" t="s">
        <v>804</v>
      </c>
      <c r="J92" t="s">
        <v>791</v>
      </c>
    </row>
    <row r="93" spans="1:10" x14ac:dyDescent="0.25">
      <c r="A93" t="s">
        <v>896</v>
      </c>
      <c r="B93" t="s">
        <v>809</v>
      </c>
      <c r="C93" t="s">
        <v>810</v>
      </c>
      <c r="D93" t="s">
        <v>811</v>
      </c>
      <c r="E93" s="1">
        <v>44999</v>
      </c>
      <c r="F93" s="2">
        <v>0.375</v>
      </c>
      <c r="G93" s="2">
        <v>0.79166666666666663</v>
      </c>
      <c r="H93">
        <v>10</v>
      </c>
      <c r="I93" t="s">
        <v>804</v>
      </c>
      <c r="J93" t="s">
        <v>791</v>
      </c>
    </row>
    <row r="94" spans="1:10" x14ac:dyDescent="0.25">
      <c r="A94" t="s">
        <v>897</v>
      </c>
      <c r="B94" t="s">
        <v>808</v>
      </c>
      <c r="C94" t="s">
        <v>789</v>
      </c>
      <c r="D94" t="s">
        <v>24</v>
      </c>
      <c r="E94" s="1">
        <v>45281</v>
      </c>
      <c r="F94" s="2">
        <v>0.5</v>
      </c>
      <c r="G94" s="2">
        <v>0.875</v>
      </c>
      <c r="H94">
        <v>9</v>
      </c>
      <c r="I94" t="s">
        <v>790</v>
      </c>
      <c r="J94" t="s">
        <v>791</v>
      </c>
    </row>
    <row r="95" spans="1:10" x14ac:dyDescent="0.25">
      <c r="A95" t="s">
        <v>898</v>
      </c>
      <c r="B95" t="s">
        <v>788</v>
      </c>
      <c r="C95" t="s">
        <v>789</v>
      </c>
      <c r="D95" t="s">
        <v>83</v>
      </c>
      <c r="E95" s="1">
        <v>45086</v>
      </c>
      <c r="F95" s="2"/>
      <c r="G95" s="2"/>
      <c r="H95">
        <v>0</v>
      </c>
      <c r="J95" t="s">
        <v>815</v>
      </c>
    </row>
    <row r="96" spans="1:10" x14ac:dyDescent="0.25">
      <c r="A96" t="s">
        <v>899</v>
      </c>
      <c r="B96" t="s">
        <v>808</v>
      </c>
      <c r="C96" t="s">
        <v>789</v>
      </c>
      <c r="D96" t="s">
        <v>24</v>
      </c>
      <c r="E96" s="1">
        <v>45024</v>
      </c>
      <c r="F96" s="2">
        <v>0.54166666666666663</v>
      </c>
      <c r="G96" s="2">
        <v>0.91666666666666663</v>
      </c>
      <c r="H96">
        <v>9</v>
      </c>
      <c r="I96" t="s">
        <v>790</v>
      </c>
      <c r="J96" t="s">
        <v>791</v>
      </c>
    </row>
    <row r="97" spans="1:10" x14ac:dyDescent="0.25">
      <c r="A97" t="s">
        <v>900</v>
      </c>
      <c r="B97" t="s">
        <v>809</v>
      </c>
      <c r="C97" t="s">
        <v>810</v>
      </c>
      <c r="D97" t="s">
        <v>811</v>
      </c>
      <c r="E97" s="1">
        <v>45216</v>
      </c>
      <c r="F97" s="2">
        <v>0.5</v>
      </c>
      <c r="G97" s="2">
        <v>0.79166666666666663</v>
      </c>
      <c r="H97">
        <v>7</v>
      </c>
      <c r="I97" t="s">
        <v>790</v>
      </c>
      <c r="J97" t="s">
        <v>791</v>
      </c>
    </row>
    <row r="98" spans="1:10" x14ac:dyDescent="0.25">
      <c r="A98" t="s">
        <v>901</v>
      </c>
      <c r="B98" t="s">
        <v>788</v>
      </c>
      <c r="C98" t="s">
        <v>789</v>
      </c>
      <c r="D98" t="s">
        <v>83</v>
      </c>
      <c r="E98" s="1">
        <v>44982</v>
      </c>
      <c r="F98" s="2">
        <v>0.54166666666666663</v>
      </c>
      <c r="G98" s="2">
        <v>0.83333333333333337</v>
      </c>
      <c r="H98">
        <v>7</v>
      </c>
      <c r="I98" t="s">
        <v>790</v>
      </c>
      <c r="J98" t="s">
        <v>791</v>
      </c>
    </row>
    <row r="99" spans="1:10" x14ac:dyDescent="0.25">
      <c r="A99" t="s">
        <v>902</v>
      </c>
      <c r="B99" t="s">
        <v>794</v>
      </c>
      <c r="C99" t="s">
        <v>795</v>
      </c>
      <c r="D99" t="s">
        <v>796</v>
      </c>
      <c r="E99" s="1">
        <v>44956</v>
      </c>
      <c r="F99" s="2"/>
      <c r="G99" s="2"/>
      <c r="H99">
        <v>0</v>
      </c>
      <c r="J99" t="s">
        <v>815</v>
      </c>
    </row>
    <row r="100" spans="1:10" x14ac:dyDescent="0.25">
      <c r="A100" t="s">
        <v>903</v>
      </c>
      <c r="B100" t="s">
        <v>801</v>
      </c>
      <c r="C100" t="s">
        <v>620</v>
      </c>
      <c r="D100" t="s">
        <v>802</v>
      </c>
      <c r="E100" s="1">
        <v>45035</v>
      </c>
      <c r="F100" s="2">
        <v>0.54166666666666663</v>
      </c>
      <c r="G100" s="2">
        <v>0.95833333333333337</v>
      </c>
      <c r="H100">
        <v>10</v>
      </c>
      <c r="I100" t="s">
        <v>790</v>
      </c>
      <c r="J100" t="s">
        <v>791</v>
      </c>
    </row>
    <row r="101" spans="1:10" x14ac:dyDescent="0.25">
      <c r="A101" t="s">
        <v>904</v>
      </c>
      <c r="B101" t="s">
        <v>788</v>
      </c>
      <c r="C101" t="s">
        <v>789</v>
      </c>
      <c r="D101" t="s">
        <v>83</v>
      </c>
      <c r="E101" s="1">
        <v>45086</v>
      </c>
      <c r="F101" s="2"/>
      <c r="G101" s="2"/>
      <c r="H101">
        <v>0</v>
      </c>
      <c r="J101" t="s">
        <v>815</v>
      </c>
    </row>
  </sheetData>
  <phoneticPr fontId="1"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6466E-4871-4BC9-8CDD-E23B1570D97A}">
  <dimension ref="A1"/>
  <sheetViews>
    <sheetView showGridLines="0" topLeftCell="A11" zoomScale="80" zoomScaleNormal="80" workbookViewId="0">
      <selection activeCell="AK13" sqref="AK1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DEA72-6B32-4752-B8C6-C1425FA3F981}">
  <dimension ref="B1:C68"/>
  <sheetViews>
    <sheetView topLeftCell="A48" workbookViewId="0">
      <selection activeCell="C60" sqref="C60"/>
    </sheetView>
  </sheetViews>
  <sheetFormatPr defaultColWidth="8.7109375" defaultRowHeight="15" x14ac:dyDescent="0.25"/>
  <cols>
    <col min="1" max="1" width="4" customWidth="1"/>
    <col min="2" max="2" width="30" customWidth="1"/>
    <col min="3" max="3" width="70" customWidth="1"/>
  </cols>
  <sheetData>
    <row r="1" spans="2:3" ht="30" customHeight="1" x14ac:dyDescent="0.25">
      <c r="B1" s="3" t="s">
        <v>911</v>
      </c>
    </row>
    <row r="2" spans="2:3" ht="21.75" customHeight="1" x14ac:dyDescent="0.25">
      <c r="B2" s="4" t="s">
        <v>912</v>
      </c>
    </row>
    <row r="3" spans="2:3" ht="7.5" customHeight="1" x14ac:dyDescent="0.25">
      <c r="B3" s="5"/>
    </row>
    <row r="4" spans="2:3" ht="19.5" customHeight="1" x14ac:dyDescent="0.25">
      <c r="B4" s="6" t="s">
        <v>913</v>
      </c>
    </row>
    <row r="5" spans="2:3" ht="18" customHeight="1" x14ac:dyDescent="0.25">
      <c r="B5" s="7" t="s">
        <v>914</v>
      </c>
      <c r="C5" s="5" t="s">
        <v>915</v>
      </c>
    </row>
    <row r="6" spans="2:3" ht="18" customHeight="1" x14ac:dyDescent="0.25">
      <c r="B6" s="7" t="s">
        <v>916</v>
      </c>
      <c r="C6" s="5" t="s">
        <v>917</v>
      </c>
    </row>
    <row r="7" spans="2:3" ht="18" customHeight="1" x14ac:dyDescent="0.25">
      <c r="B7" s="7" t="s">
        <v>918</v>
      </c>
      <c r="C7" s="5" t="s">
        <v>919</v>
      </c>
    </row>
    <row r="8" spans="2:3" ht="7.5" customHeight="1" x14ac:dyDescent="0.25">
      <c r="B8" s="5"/>
    </row>
    <row r="9" spans="2:3" ht="21.75" customHeight="1" x14ac:dyDescent="0.25">
      <c r="B9" s="8" t="s">
        <v>920</v>
      </c>
    </row>
    <row r="10" spans="2:3" ht="18" customHeight="1" x14ac:dyDescent="0.25">
      <c r="B10" s="7" t="s">
        <v>921</v>
      </c>
      <c r="C10" s="5" t="s">
        <v>922</v>
      </c>
    </row>
    <row r="11" spans="2:3" ht="18" customHeight="1" x14ac:dyDescent="0.25">
      <c r="C11" s="5" t="s">
        <v>923</v>
      </c>
    </row>
    <row r="12" spans="2:3" ht="18" customHeight="1" x14ac:dyDescent="0.25">
      <c r="C12" s="5" t="s">
        <v>924</v>
      </c>
    </row>
    <row r="13" spans="2:3" ht="18" customHeight="1" x14ac:dyDescent="0.25">
      <c r="C13" s="5" t="s">
        <v>925</v>
      </c>
    </row>
    <row r="14" spans="2:3" ht="18" customHeight="1" x14ac:dyDescent="0.25">
      <c r="C14" s="5" t="s">
        <v>926</v>
      </c>
    </row>
    <row r="15" spans="2:3" ht="18" customHeight="1" x14ac:dyDescent="0.25">
      <c r="B15" s="7" t="s">
        <v>927</v>
      </c>
      <c r="C15" s="5" t="s">
        <v>928</v>
      </c>
    </row>
    <row r="16" spans="2:3" ht="18" customHeight="1" x14ac:dyDescent="0.25">
      <c r="C16" s="5" t="s">
        <v>929</v>
      </c>
    </row>
    <row r="17" spans="2:3" ht="18" customHeight="1" x14ac:dyDescent="0.25">
      <c r="C17" s="5" t="s">
        <v>930</v>
      </c>
    </row>
    <row r="18" spans="2:3" ht="18" customHeight="1" x14ac:dyDescent="0.25">
      <c r="B18" s="7" t="s">
        <v>931</v>
      </c>
      <c r="C18" s="5" t="s">
        <v>932</v>
      </c>
    </row>
    <row r="19" spans="2:3" ht="18" customHeight="1" x14ac:dyDescent="0.25">
      <c r="C19" s="5" t="s">
        <v>933</v>
      </c>
    </row>
    <row r="20" spans="2:3" ht="7.5" customHeight="1" x14ac:dyDescent="0.25">
      <c r="B20" s="5"/>
    </row>
    <row r="21" spans="2:3" ht="21.75" customHeight="1" x14ac:dyDescent="0.25">
      <c r="B21" s="9" t="s">
        <v>934</v>
      </c>
    </row>
    <row r="22" spans="2:3" ht="19.5" customHeight="1" x14ac:dyDescent="0.25">
      <c r="B22" s="6" t="s">
        <v>935</v>
      </c>
      <c r="C22" s="10" t="s">
        <v>935</v>
      </c>
    </row>
    <row r="23" spans="2:3" ht="39.75" customHeight="1" x14ac:dyDescent="0.25">
      <c r="B23" s="5" t="s">
        <v>936</v>
      </c>
      <c r="C23" s="5" t="s">
        <v>937</v>
      </c>
    </row>
    <row r="24" spans="2:3" ht="34.5" customHeight="1" x14ac:dyDescent="0.25">
      <c r="C24" s="5" t="s">
        <v>938</v>
      </c>
    </row>
    <row r="25" spans="2:3" ht="18" customHeight="1" x14ac:dyDescent="0.25">
      <c r="C25" s="5" t="s">
        <v>939</v>
      </c>
    </row>
    <row r="26" spans="2:3" ht="7.5" customHeight="1" x14ac:dyDescent="0.25">
      <c r="B26" s="5"/>
      <c r="C26" s="5" t="s">
        <v>939</v>
      </c>
    </row>
    <row r="27" spans="2:3" ht="19.5" customHeight="1" x14ac:dyDescent="0.25">
      <c r="B27" s="6" t="s">
        <v>940</v>
      </c>
      <c r="C27" s="10" t="s">
        <v>941</v>
      </c>
    </row>
    <row r="28" spans="2:3" ht="18" customHeight="1" x14ac:dyDescent="0.25">
      <c r="B28" s="5" t="s">
        <v>942</v>
      </c>
      <c r="C28" s="5" t="s">
        <v>943</v>
      </c>
    </row>
    <row r="29" spans="2:3" ht="18" customHeight="1" x14ac:dyDescent="0.25">
      <c r="C29" s="5" t="s">
        <v>944</v>
      </c>
    </row>
    <row r="30" spans="2:3" ht="18" customHeight="1" x14ac:dyDescent="0.25">
      <c r="C30" s="5" t="s">
        <v>945</v>
      </c>
    </row>
    <row r="31" spans="2:3" ht="18" customHeight="1" x14ac:dyDescent="0.25">
      <c r="C31" s="5" t="s">
        <v>946</v>
      </c>
    </row>
    <row r="32" spans="2:3" ht="18" customHeight="1" x14ac:dyDescent="0.25">
      <c r="C32" s="5" t="s">
        <v>947</v>
      </c>
    </row>
    <row r="33" spans="2:3" ht="18" customHeight="1" x14ac:dyDescent="0.25">
      <c r="C33" s="5" t="s">
        <v>948</v>
      </c>
    </row>
    <row r="34" spans="2:3" ht="18" customHeight="1" x14ac:dyDescent="0.25">
      <c r="C34" s="5" t="s">
        <v>949</v>
      </c>
    </row>
    <row r="35" spans="2:3" ht="18" customHeight="1" x14ac:dyDescent="0.25">
      <c r="C35" s="5" t="s">
        <v>950</v>
      </c>
    </row>
    <row r="36" spans="2:3" ht="7.5" customHeight="1" x14ac:dyDescent="0.25">
      <c r="B36" s="5"/>
    </row>
    <row r="37" spans="2:3" ht="19.5" customHeight="1" x14ac:dyDescent="0.25">
      <c r="B37" s="6" t="s">
        <v>951</v>
      </c>
      <c r="C37" s="10" t="s">
        <v>952</v>
      </c>
    </row>
    <row r="38" spans="2:3" ht="18" customHeight="1" x14ac:dyDescent="0.25">
      <c r="B38" s="5" t="s">
        <v>953</v>
      </c>
      <c r="C38" s="5" t="s">
        <v>954</v>
      </c>
    </row>
    <row r="39" spans="2:3" ht="18" customHeight="1" x14ac:dyDescent="0.25">
      <c r="C39" s="5" t="s">
        <v>955</v>
      </c>
    </row>
    <row r="40" spans="2:3" ht="18" customHeight="1" x14ac:dyDescent="0.25">
      <c r="C40" s="5" t="s">
        <v>956</v>
      </c>
    </row>
    <row r="41" spans="2:3" ht="18" customHeight="1" x14ac:dyDescent="0.25">
      <c r="C41" s="5" t="s">
        <v>957</v>
      </c>
    </row>
    <row r="42" spans="2:3" ht="18" customHeight="1" x14ac:dyDescent="0.25">
      <c r="C42" s="5" t="s">
        <v>958</v>
      </c>
    </row>
    <row r="43" spans="2:3" ht="18" customHeight="1" x14ac:dyDescent="0.25">
      <c r="C43" s="5" t="s">
        <v>959</v>
      </c>
    </row>
    <row r="44" spans="2:3" ht="18" customHeight="1" x14ac:dyDescent="0.25">
      <c r="C44" s="5" t="s">
        <v>960</v>
      </c>
    </row>
    <row r="45" spans="2:3" ht="7.5" customHeight="1" x14ac:dyDescent="0.25">
      <c r="B45" s="5"/>
    </row>
    <row r="46" spans="2:3" ht="19.5" customHeight="1" x14ac:dyDescent="0.25">
      <c r="B46" s="6" t="s">
        <v>961</v>
      </c>
      <c r="C46" s="10" t="s">
        <v>962</v>
      </c>
    </row>
    <row r="47" spans="2:3" ht="18" customHeight="1" x14ac:dyDescent="0.25">
      <c r="B47" s="5" t="s">
        <v>963</v>
      </c>
      <c r="C47" s="5" t="s">
        <v>964</v>
      </c>
    </row>
    <row r="48" spans="2:3" ht="18" customHeight="1" x14ac:dyDescent="0.25">
      <c r="C48" s="5" t="s">
        <v>965</v>
      </c>
    </row>
    <row r="49" spans="2:3" ht="18" customHeight="1" x14ac:dyDescent="0.25">
      <c r="C49" s="5" t="s">
        <v>966</v>
      </c>
    </row>
    <row r="50" spans="2:3" ht="18" customHeight="1" x14ac:dyDescent="0.25">
      <c r="C50" s="5" t="s">
        <v>967</v>
      </c>
    </row>
    <row r="51" spans="2:3" ht="18" customHeight="1" x14ac:dyDescent="0.25">
      <c r="C51" s="5" t="s">
        <v>968</v>
      </c>
    </row>
    <row r="52" spans="2:3" ht="18" customHeight="1" x14ac:dyDescent="0.25">
      <c r="C52" s="5" t="s">
        <v>969</v>
      </c>
    </row>
    <row r="53" spans="2:3" ht="18" customHeight="1" x14ac:dyDescent="0.25">
      <c r="C53" s="5" t="s">
        <v>995</v>
      </c>
    </row>
    <row r="54" spans="2:3" ht="7.5" customHeight="1" x14ac:dyDescent="0.25">
      <c r="B54" s="5"/>
    </row>
    <row r="55" spans="2:3" ht="19.5" customHeight="1" x14ac:dyDescent="0.25">
      <c r="B55" s="6" t="s">
        <v>970</v>
      </c>
      <c r="C55" s="10" t="s">
        <v>971</v>
      </c>
    </row>
    <row r="56" spans="2:3" ht="18" customHeight="1" x14ac:dyDescent="0.25">
      <c r="B56" s="5" t="s">
        <v>972</v>
      </c>
      <c r="C56" s="5" t="s">
        <v>996</v>
      </c>
    </row>
    <row r="57" spans="2:3" ht="21.75" customHeight="1" x14ac:dyDescent="0.25">
      <c r="C57" s="5" t="s">
        <v>973</v>
      </c>
    </row>
    <row r="58" spans="2:3" ht="21.75" customHeight="1" x14ac:dyDescent="0.25">
      <c r="C58" s="5" t="s">
        <v>998</v>
      </c>
    </row>
    <row r="59" spans="2:3" ht="21.75" customHeight="1" x14ac:dyDescent="0.25">
      <c r="C59" s="5" t="s">
        <v>997</v>
      </c>
    </row>
    <row r="60" spans="2:3" ht="18" customHeight="1" x14ac:dyDescent="0.25">
      <c r="C60" s="5" t="s">
        <v>999</v>
      </c>
    </row>
    <row r="61" spans="2:3" ht="7.5" customHeight="1" x14ac:dyDescent="0.25">
      <c r="B61" s="5"/>
    </row>
    <row r="62" spans="2:3" ht="21.75" customHeight="1" x14ac:dyDescent="0.25">
      <c r="B62" s="11"/>
    </row>
    <row r="63" spans="2:3" ht="18" customHeight="1" x14ac:dyDescent="0.25">
      <c r="C63" s="5"/>
    </row>
    <row r="64" spans="2:3" ht="18" customHeight="1" x14ac:dyDescent="0.25">
      <c r="C64" s="5"/>
    </row>
    <row r="65" spans="3:3" ht="18" customHeight="1" x14ac:dyDescent="0.25">
      <c r="C65" s="5"/>
    </row>
    <row r="66" spans="3:3" ht="18" customHeight="1" x14ac:dyDescent="0.25">
      <c r="C66" s="5"/>
    </row>
    <row r="67" spans="3:3" ht="18" customHeight="1" x14ac:dyDescent="0.25">
      <c r="C67" s="5"/>
    </row>
    <row r="68" spans="3:3" ht="18" customHeight="1" x14ac:dyDescent="0.25">
      <c r="C68"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B9B0B23-4B75-431A-A510-BFD95425B3A2}">
  <ds:schemaRefs/>
</ds:datastoreItem>
</file>

<file path=customXml/itemProps2.xml><?xml version="1.0" encoding="utf-8"?>
<ds:datastoreItem xmlns:ds="http://schemas.openxmlformats.org/officeDocument/2006/customXml" ds:itemID="{A31CF7FD-672B-4465-BECD-DC13483A0811}">
  <ds:schemaRefs/>
</ds:datastoreItem>
</file>

<file path=customXml/itemProps3.xml><?xml version="1.0" encoding="utf-8"?>
<ds:datastoreItem xmlns:ds="http://schemas.openxmlformats.org/officeDocument/2006/customXml" ds:itemID="{89D3DE35-251A-45DE-B4CF-7E7E4BB6A36F}">
  <ds:schemaRefs/>
</ds:datastoreItem>
</file>

<file path=customXml/itemProps4.xml><?xml version="1.0" encoding="utf-8"?>
<ds:datastoreItem xmlns:ds="http://schemas.openxmlformats.org/officeDocument/2006/customXml" ds:itemID="{354E1D5B-754B-4FD5-88D1-99C2693E587A}">
  <ds:schemaRefs>
    <ds:schemaRef ds:uri="http://schemas.microsoft.com/DataMashup"/>
  </ds:schemaRefs>
</ds:datastoreItem>
</file>

<file path=customXml/itemProps5.xml><?xml version="1.0" encoding="utf-8"?>
<ds:datastoreItem xmlns:ds="http://schemas.openxmlformats.org/officeDocument/2006/customXml" ds:itemID="{13CECF06-7FA6-4AC8-8074-271C27DC86F8}">
  <ds:schemaRefs/>
</ds:datastoreItem>
</file>

<file path=customXml/itemProps6.xml><?xml version="1.0" encoding="utf-8"?>
<ds:datastoreItem xmlns:ds="http://schemas.openxmlformats.org/officeDocument/2006/customXml" ds:itemID="{3986540D-925D-4507-8736-0ED45F8DF96F}">
  <ds:schemaRefs/>
</ds:datastoreItem>
</file>

<file path=customXml/itemProps7.xml><?xml version="1.0" encoding="utf-8"?>
<ds:datastoreItem xmlns:ds="http://schemas.openxmlformats.org/officeDocument/2006/customXml" ds:itemID="{2E7F0743-30DA-4037-A6C5-A51A9EC714D9}">
  <ds:schemaRefs/>
</ds:datastoreItem>
</file>

<file path=customXml/itemProps8.xml><?xml version="1.0" encoding="utf-8"?>
<ds:datastoreItem xmlns:ds="http://schemas.openxmlformats.org/officeDocument/2006/customXml" ds:itemID="{15390A74-AD90-49B8-9794-369FFC32D84D}">
  <ds:schemaRefs/>
</ds:datastoreItem>
</file>

<file path=customXml/itemProps9.xml><?xml version="1.0" encoding="utf-8"?>
<ds:datastoreItem xmlns:ds="http://schemas.openxmlformats.org/officeDocument/2006/customXml" ds:itemID="{4144CB53-6E20-417D-B1D8-1501F8FB5F4F}">
  <ds:schemaRefs/>
</ds:datastoreItem>
</file>

<file path=customXml/itemProps10.xml><?xml version="1.0" encoding="utf-8"?>
<ds:datastoreItem xmlns:ds="http://schemas.openxmlformats.org/officeDocument/2006/customXml" ds:itemID="{76D2CF07-3DA3-46DD-B2C4-D0BAC0A62B76}">
  <ds:schemaRefs/>
</ds:datastoreItem>
</file>

<file path=customXml/itemProps11.xml><?xml version="1.0" encoding="utf-8"?>
<ds:datastoreItem xmlns:ds="http://schemas.openxmlformats.org/officeDocument/2006/customXml" ds:itemID="{48243545-E418-414F-9166-4FF5C9C6E917}">
  <ds:schemaRefs/>
</ds:datastoreItem>
</file>

<file path=customXml/itemProps12.xml><?xml version="1.0" encoding="utf-8"?>
<ds:datastoreItem xmlns:ds="http://schemas.openxmlformats.org/officeDocument/2006/customXml" ds:itemID="{2457EC63-1935-4A21-889E-870854BA9854}">
  <ds:schemaRefs/>
</ds:datastoreItem>
</file>

<file path=customXml/itemProps13.xml><?xml version="1.0" encoding="utf-8"?>
<ds:datastoreItem xmlns:ds="http://schemas.openxmlformats.org/officeDocument/2006/customXml" ds:itemID="{A13E011B-FB11-4FF0-AF77-6F99BD0C630E}">
  <ds:schemaRefs/>
</ds:datastoreItem>
</file>

<file path=customXml/itemProps14.xml><?xml version="1.0" encoding="utf-8"?>
<ds:datastoreItem xmlns:ds="http://schemas.openxmlformats.org/officeDocument/2006/customXml" ds:itemID="{17AC4213-75BD-4F99-908A-4E40A03CFE5A}">
  <ds:schemaRefs/>
</ds:datastoreItem>
</file>

<file path=customXml/itemProps15.xml><?xml version="1.0" encoding="utf-8"?>
<ds:datastoreItem xmlns:ds="http://schemas.openxmlformats.org/officeDocument/2006/customXml" ds:itemID="{3FBDC7A7-D4AF-4064-9E51-B8A6230C1640}">
  <ds:schemaRefs/>
</ds:datastoreItem>
</file>

<file path=customXml/itemProps16.xml><?xml version="1.0" encoding="utf-8"?>
<ds:datastoreItem xmlns:ds="http://schemas.openxmlformats.org/officeDocument/2006/customXml" ds:itemID="{B27AB5B9-FC4C-4844-B44E-1E8FD7380FC4}">
  <ds:schemaRefs/>
</ds:datastoreItem>
</file>

<file path=customXml/itemProps17.xml><?xml version="1.0" encoding="utf-8"?>
<ds:datastoreItem xmlns:ds="http://schemas.openxmlformats.org/officeDocument/2006/customXml" ds:itemID="{770BA828-BE0B-423D-AC5E-A49515E42D6F}">
  <ds:schemaRefs/>
</ds:datastoreItem>
</file>

<file path=customXml/itemProps18.xml><?xml version="1.0" encoding="utf-8"?>
<ds:datastoreItem xmlns:ds="http://schemas.openxmlformats.org/officeDocument/2006/customXml" ds:itemID="{5C60F3BC-0170-4A8B-802A-B01F1561BDA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Avg. Bill by Payment Method</vt:lpstr>
      <vt:lpstr>Top 5 Diagnoses</vt:lpstr>
      <vt:lpstr>Follow-up Rate</vt:lpstr>
      <vt:lpstr>Gender Count</vt:lpstr>
      <vt:lpstr>Patient Count by State</vt:lpstr>
      <vt:lpstr>Monthly Revenue</vt:lpstr>
      <vt:lpstr>Revenue by Payment Status</vt:lpstr>
      <vt:lpstr>Top 3 Drugs by Revenue</vt:lpstr>
      <vt:lpstr>Sales by Compliance Status</vt:lpstr>
      <vt:lpstr>Count of Expiry Drugs Sold</vt:lpstr>
      <vt:lpstr>Payment Status by Payment Metho</vt:lpstr>
      <vt:lpstr>Visits by Dept.</vt:lpstr>
      <vt:lpstr>Patient_Visits</vt:lpstr>
      <vt:lpstr>Pharmacy_Sales</vt:lpstr>
      <vt:lpstr>Staff_Attendance</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Lamina Al-ameen</dc:creator>
  <cp:lastModifiedBy>Lamina Al-ameen</cp:lastModifiedBy>
  <dcterms:created xsi:type="dcterms:W3CDTF">2026-04-05T21:23:09Z</dcterms:created>
  <dcterms:modified xsi:type="dcterms:W3CDTF">2026-04-14T07:59:29Z</dcterms:modified>
</cp:coreProperties>
</file>